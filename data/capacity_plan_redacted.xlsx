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david_hromatka_sap_com/Documents/Documents/personal/vibe coding/claude/capacity_plan_SWA/"/>
    </mc:Choice>
  </mc:AlternateContent>
  <xr:revisionPtr revIDLastSave="27" documentId="8_{558D4864-5E09-4EF5-A43D-262F9BF6FDEF}" xr6:coauthVersionLast="47" xr6:coauthVersionMax="47" xr10:uidLastSave="{0285A38C-BC7D-428C-A9AC-6810817EFA38}"/>
  <bookViews>
    <workbookView xWindow="-15285" yWindow="-16320" windowWidth="29040" windowHeight="15720" xr2:uid="{19BBCF17-307F-40CB-9416-BC156730359F}"/>
  </bookViews>
  <sheets>
    <sheet name="Capacity Plan" sheetId="1" r:id="rId1"/>
  </sheets>
  <definedNames>
    <definedName name="_xlnm._FilterDatabase" localSheetId="0" hidden="1">'Capacity Plan'!$A$5:$AI$17</definedName>
    <definedName name="liste_mail_client_PROD_5">#REF!</definedName>
    <definedName name="_xlnm.Print_Area" localSheetId="0">'Capacity Plan'!$A$1:$AI$17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T32" i="1"/>
  <c r="R32" i="1"/>
  <c r="P32" i="1"/>
  <c r="N32" i="1"/>
  <c r="AI31" i="1"/>
  <c r="AH31" i="1"/>
  <c r="AG31" i="1"/>
  <c r="AE31" i="1"/>
  <c r="AC31" i="1"/>
  <c r="AA31" i="1"/>
  <c r="Y31" i="1"/>
  <c r="X31" i="1"/>
  <c r="U31" i="1"/>
  <c r="T31" i="1"/>
  <c r="S31" i="1"/>
  <c r="R31" i="1"/>
  <c r="P31" i="1"/>
  <c r="O31" i="1"/>
  <c r="N31" i="1" s="1"/>
  <c r="M31" i="1"/>
  <c r="K31" i="1"/>
  <c r="I31" i="1"/>
  <c r="AD30" i="1"/>
  <c r="AB30" i="1"/>
  <c r="Z30" i="1"/>
  <c r="X30" i="1"/>
  <c r="V30" i="1"/>
  <c r="T30" i="1"/>
  <c r="R30" i="1"/>
  <c r="P30" i="1"/>
  <c r="Z29" i="1"/>
  <c r="T29" i="1"/>
  <c r="R29" i="1"/>
  <c r="P29" i="1"/>
  <c r="N29" i="1"/>
  <c r="L29" i="1"/>
  <c r="T28" i="1"/>
  <c r="R28" i="1"/>
  <c r="P28" i="1"/>
  <c r="N28" i="1"/>
  <c r="L28" i="1"/>
  <c r="T27" i="1"/>
  <c r="R27" i="1"/>
  <c r="P27" i="1"/>
  <c r="N27" i="1"/>
  <c r="L27" i="1"/>
  <c r="AH26" i="1"/>
  <c r="AF26" i="1"/>
  <c r="T26" i="1"/>
  <c r="R26" i="1"/>
  <c r="P26" i="1"/>
  <c r="N26" i="1"/>
  <c r="L26" i="1"/>
  <c r="T25" i="1"/>
  <c r="R25" i="1"/>
  <c r="P25" i="1"/>
  <c r="N25" i="1"/>
  <c r="L25" i="1"/>
  <c r="AH24" i="1"/>
  <c r="AF24" i="1"/>
  <c r="AD24" i="1"/>
  <c r="AB24" i="1"/>
  <c r="Z24" i="1"/>
  <c r="P24" i="1"/>
  <c r="N24" i="1"/>
  <c r="T23" i="1"/>
  <c r="AF22" i="1"/>
  <c r="AD22" i="1"/>
  <c r="AB22" i="1"/>
  <c r="Z22" i="1"/>
  <c r="T22" i="1"/>
  <c r="R22" i="1"/>
  <c r="P22" i="1"/>
  <c r="T21" i="1"/>
  <c r="R21" i="1"/>
  <c r="P21" i="1"/>
  <c r="N21" i="1"/>
  <c r="L21" i="1"/>
  <c r="X20" i="1"/>
  <c r="V20" i="1"/>
  <c r="T20" i="1"/>
  <c r="R20" i="1"/>
  <c r="P20" i="1"/>
  <c r="N20" i="1"/>
  <c r="L20" i="1"/>
  <c r="T19" i="1"/>
  <c r="R19" i="1"/>
  <c r="P19" i="1"/>
  <c r="N19" i="1"/>
  <c r="L19" i="1"/>
  <c r="AH18" i="1"/>
  <c r="AF18" i="1"/>
  <c r="T18" i="1"/>
  <c r="R18" i="1"/>
  <c r="P18" i="1"/>
  <c r="N18" i="1"/>
  <c r="L18" i="1"/>
  <c r="E17" i="1"/>
  <c r="AI15" i="1"/>
  <c r="AG15" i="1"/>
  <c r="AE15" i="1"/>
  <c r="AC15" i="1"/>
  <c r="AA15" i="1"/>
  <c r="Y15" i="1"/>
  <c r="U15" i="1"/>
  <c r="S15" i="1"/>
  <c r="O15" i="1"/>
  <c r="M15" i="1"/>
  <c r="K15" i="1"/>
  <c r="I15" i="1"/>
  <c r="N8" i="1"/>
  <c r="L8" i="1"/>
  <c r="AH6" i="1"/>
  <c r="AF6" i="1"/>
  <c r="AD6" i="1"/>
  <c r="AB6" i="1"/>
  <c r="Z6" i="1"/>
  <c r="X6" i="1"/>
  <c r="V6" i="1"/>
  <c r="T6" i="1"/>
  <c r="R6" i="1"/>
  <c r="P6" i="1"/>
  <c r="N6" i="1"/>
  <c r="L6" i="1"/>
  <c r="J6" i="1"/>
  <c r="H6" i="1"/>
  <c r="AI2" i="1"/>
  <c r="AH2" i="1"/>
  <c r="AF2" i="1"/>
  <c r="AD2" i="1"/>
  <c r="AB2" i="1"/>
  <c r="Z2" i="1"/>
  <c r="X2" i="1"/>
  <c r="V2" i="1"/>
  <c r="U2" i="1"/>
  <c r="T16" i="1" s="1"/>
  <c r="T2" i="1"/>
  <c r="S2" i="1"/>
  <c r="R23" i="1" s="1"/>
  <c r="R2" i="1"/>
  <c r="P2" i="1"/>
  <c r="N2" i="1"/>
  <c r="M2" i="1"/>
  <c r="L2" i="1"/>
  <c r="H2" i="1"/>
  <c r="AG1" i="1"/>
  <c r="AG2" i="1" s="1"/>
  <c r="AE1" i="1"/>
  <c r="AE2" i="1" s="1"/>
  <c r="AC1" i="1"/>
  <c r="AC2" i="1" s="1"/>
  <c r="AA1" i="1"/>
  <c r="AA2" i="1" s="1"/>
  <c r="Y1" i="1"/>
  <c r="Y2" i="1" s="1"/>
  <c r="W1" i="1"/>
  <c r="W2" i="1" s="1"/>
  <c r="U1" i="1"/>
  <c r="S1" i="1"/>
  <c r="Q1" i="1"/>
  <c r="Q2" i="1" s="1"/>
  <c r="P23" i="1" s="1"/>
  <c r="O1" i="1"/>
  <c r="O2" i="1" s="1"/>
  <c r="N30" i="1" s="1"/>
  <c r="M1" i="1"/>
  <c r="K1" i="1"/>
  <c r="I1" i="1"/>
  <c r="J1" i="1" s="1"/>
  <c r="V24" i="1" l="1"/>
  <c r="V25" i="1"/>
  <c r="V26" i="1"/>
  <c r="V18" i="1"/>
  <c r="V32" i="1"/>
  <c r="V27" i="1"/>
  <c r="V19" i="1"/>
  <c r="V23" i="1"/>
  <c r="X25" i="1"/>
  <c r="X26" i="1"/>
  <c r="X18" i="1"/>
  <c r="X33" i="1" s="1"/>
  <c r="X32" i="1"/>
  <c r="X27" i="1"/>
  <c r="X19" i="1"/>
  <c r="X23" i="1"/>
  <c r="Z25" i="1"/>
  <c r="Z26" i="1"/>
  <c r="Z18" i="1"/>
  <c r="Z32" i="1"/>
  <c r="Z27" i="1"/>
  <c r="Z19" i="1"/>
  <c r="Z31" i="1"/>
  <c r="Z28" i="1"/>
  <c r="Z20" i="1"/>
  <c r="V21" i="1"/>
  <c r="Z23" i="1"/>
  <c r="V28" i="1"/>
  <c r="AB12" i="1"/>
  <c r="AB26" i="1"/>
  <c r="AB18" i="1"/>
  <c r="AB32" i="1"/>
  <c r="AB27" i="1"/>
  <c r="AB19" i="1"/>
  <c r="AB31" i="1"/>
  <c r="AB28" i="1"/>
  <c r="AB20" i="1"/>
  <c r="AB29" i="1"/>
  <c r="X21" i="1"/>
  <c r="AB23" i="1"/>
  <c r="X28" i="1"/>
  <c r="AD26" i="1"/>
  <c r="AD18" i="1"/>
  <c r="AD33" i="1" s="1"/>
  <c r="AD32" i="1"/>
  <c r="AD27" i="1"/>
  <c r="AD19" i="1"/>
  <c r="AD28" i="1"/>
  <c r="AD20" i="1"/>
  <c r="AD29" i="1"/>
  <c r="AD21" i="1"/>
  <c r="Z21" i="1"/>
  <c r="AD23" i="1"/>
  <c r="AF10" i="1"/>
  <c r="AF32" i="1"/>
  <c r="AF31" i="1"/>
  <c r="AF27" i="1"/>
  <c r="AF19" i="1"/>
  <c r="AF28" i="1"/>
  <c r="AF20" i="1"/>
  <c r="AF29" i="1"/>
  <c r="AF21" i="1"/>
  <c r="AF30" i="1"/>
  <c r="AB21" i="1"/>
  <c r="AF23" i="1"/>
  <c r="AF33" i="1" s="1"/>
  <c r="AH32" i="1"/>
  <c r="AH27" i="1"/>
  <c r="AH19" i="1"/>
  <c r="AH28" i="1"/>
  <c r="AH20" i="1"/>
  <c r="AH29" i="1"/>
  <c r="AH21" i="1"/>
  <c r="AH30" i="1"/>
  <c r="AH22" i="1"/>
  <c r="AH23" i="1"/>
  <c r="N33" i="1"/>
  <c r="AB25" i="1"/>
  <c r="L12" i="1"/>
  <c r="L30" i="1"/>
  <c r="L22" i="1"/>
  <c r="L33" i="1" s="1"/>
  <c r="L23" i="1"/>
  <c r="L24" i="1"/>
  <c r="P33" i="1"/>
  <c r="AD25" i="1"/>
  <c r="L32" i="1"/>
  <c r="R33" i="1"/>
  <c r="V22" i="1"/>
  <c r="AF25" i="1"/>
  <c r="V29" i="1"/>
  <c r="T33" i="1"/>
  <c r="X22" i="1"/>
  <c r="X24" i="1"/>
  <c r="AH25" i="1"/>
  <c r="X29" i="1"/>
  <c r="V33" i="1"/>
  <c r="AH33" i="1"/>
  <c r="V31" i="1"/>
  <c r="N23" i="1"/>
  <c r="R24" i="1"/>
  <c r="AD31" i="1"/>
  <c r="T24" i="1"/>
  <c r="L31" i="1"/>
  <c r="N22" i="1"/>
  <c r="AH15" i="1"/>
  <c r="P8" i="1"/>
  <c r="P11" i="1"/>
  <c r="P15" i="1"/>
  <c r="P10" i="1"/>
  <c r="P14" i="1"/>
  <c r="R8" i="1"/>
  <c r="AD9" i="1"/>
  <c r="R10" i="1"/>
  <c r="R14" i="1"/>
  <c r="AD11" i="1"/>
  <c r="I2" i="1"/>
  <c r="AD12" i="1"/>
  <c r="AH12" i="1"/>
  <c r="N14" i="1"/>
  <c r="J2" i="1"/>
  <c r="K2" i="1"/>
  <c r="AH10" i="1"/>
  <c r="P13" i="1"/>
  <c r="N11" i="1"/>
  <c r="AH11" i="1"/>
  <c r="AH14" i="1"/>
  <c r="L16" i="1"/>
  <c r="P16" i="1"/>
  <c r="P9" i="1"/>
  <c r="R16" i="1"/>
  <c r="T14" i="1"/>
  <c r="H9" i="1"/>
  <c r="R9" i="1"/>
  <c r="L15" i="1"/>
  <c r="Z11" i="1"/>
  <c r="N16" i="1"/>
  <c r="L9" i="1"/>
  <c r="Z9" i="1"/>
  <c r="AH16" i="1"/>
  <c r="V14" i="1"/>
  <c r="V11" i="1"/>
  <c r="V12" i="1"/>
  <c r="V13" i="1"/>
  <c r="V10" i="1"/>
  <c r="V8" i="1"/>
  <c r="V9" i="1"/>
  <c r="V15" i="1"/>
  <c r="V16" i="1"/>
  <c r="X14" i="1"/>
  <c r="X12" i="1"/>
  <c r="X13" i="1"/>
  <c r="X10" i="1"/>
  <c r="X8" i="1"/>
  <c r="X16" i="1"/>
  <c r="X15" i="1"/>
  <c r="X9" i="1"/>
  <c r="AF8" i="1"/>
  <c r="AF13" i="1"/>
  <c r="AF11" i="1"/>
  <c r="AF9" i="1"/>
  <c r="AF16" i="1"/>
  <c r="AF12" i="1"/>
  <c r="AF14" i="1"/>
  <c r="T13" i="1"/>
  <c r="T11" i="1"/>
  <c r="T12" i="1"/>
  <c r="T10" i="1"/>
  <c r="T8" i="1"/>
  <c r="Z12" i="1"/>
  <c r="Z16" i="1"/>
  <c r="Z8" i="1"/>
  <c r="Z10" i="1"/>
  <c r="Z14" i="1"/>
  <c r="Z15" i="1"/>
  <c r="AB16" i="1"/>
  <c r="AB8" i="1"/>
  <c r="AB15" i="1"/>
  <c r="AB10" i="1"/>
  <c r="AB14" i="1"/>
  <c r="AB9" i="1"/>
  <c r="AB11" i="1"/>
  <c r="Z13" i="1"/>
  <c r="AF15" i="1"/>
  <c r="X11" i="1"/>
  <c r="T15" i="1"/>
  <c r="T9" i="1"/>
  <c r="AB13" i="1"/>
  <c r="AD8" i="1"/>
  <c r="AD16" i="1"/>
  <c r="AD13" i="1"/>
  <c r="AD10" i="1"/>
  <c r="N12" i="1"/>
  <c r="N10" i="1"/>
  <c r="N15" i="1"/>
  <c r="N9" i="1"/>
  <c r="L11" i="1"/>
  <c r="L10" i="1"/>
  <c r="L14" i="1"/>
  <c r="AH9" i="1"/>
  <c r="AH13" i="1"/>
  <c r="AH8" i="1"/>
  <c r="N13" i="1"/>
  <c r="AD15" i="1"/>
  <c r="AD14" i="1"/>
  <c r="L13" i="1"/>
  <c r="R15" i="1"/>
  <c r="R13" i="1"/>
  <c r="R11" i="1"/>
  <c r="R12" i="1"/>
  <c r="P12" i="1"/>
  <c r="AB33" i="1" l="1"/>
  <c r="J11" i="1"/>
  <c r="J29" i="1"/>
  <c r="J21" i="1"/>
  <c r="J30" i="1"/>
  <c r="J22" i="1"/>
  <c r="J31" i="1"/>
  <c r="J23" i="1"/>
  <c r="J24" i="1"/>
  <c r="J28" i="1"/>
  <c r="J26" i="1"/>
  <c r="J32" i="1"/>
  <c r="J27" i="1"/>
  <c r="J20" i="1"/>
  <c r="J18" i="1"/>
  <c r="J25" i="1"/>
  <c r="J19" i="1"/>
  <c r="Z33" i="1"/>
  <c r="H13" i="1"/>
  <c r="H29" i="1"/>
  <c r="H21" i="1"/>
  <c r="H30" i="1"/>
  <c r="H22" i="1"/>
  <c r="H31" i="1"/>
  <c r="H23" i="1"/>
  <c r="H19" i="1"/>
  <c r="H28" i="1"/>
  <c r="H26" i="1"/>
  <c r="H24" i="1"/>
  <c r="H32" i="1"/>
  <c r="H27" i="1"/>
  <c r="H20" i="1"/>
  <c r="H33" i="1" s="1"/>
  <c r="H18" i="1"/>
  <c r="H25" i="1"/>
  <c r="J13" i="1"/>
  <c r="H14" i="1"/>
  <c r="H10" i="1"/>
  <c r="H8" i="1"/>
  <c r="H16" i="1"/>
  <c r="J14" i="1"/>
  <c r="J16" i="1"/>
  <c r="J10" i="1"/>
  <c r="H12" i="1"/>
  <c r="H15" i="1"/>
  <c r="H11" i="1"/>
  <c r="AD17" i="1"/>
  <c r="P17" i="1"/>
  <c r="N17" i="1"/>
  <c r="R17" i="1"/>
  <c r="L17" i="1"/>
  <c r="Z17" i="1"/>
  <c r="J8" i="1"/>
  <c r="J12" i="1"/>
  <c r="J9" i="1"/>
  <c r="J15" i="1"/>
  <c r="AF17" i="1"/>
  <c r="AB17" i="1"/>
  <c r="AH17" i="1"/>
  <c r="T17" i="1"/>
  <c r="X17" i="1"/>
  <c r="V17" i="1"/>
  <c r="J33" i="1" l="1"/>
  <c r="H17" i="1"/>
  <c r="J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tc={4FF61073-1451-4736-A32C-B432C88C52A8}</author>
    <author>tc={4B802379-D6DA-4179-9954-669D7017199C}</author>
  </authors>
  <commentList>
    <comment ref="O32" authorId="0" shapeId="0" xr:uid="{4FF61073-1451-4736-A32C-B432C88C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tbc</t>
      </text>
    </comment>
    <comment ref="Q32" authorId="1" shapeId="0" xr:uid="{4B802379-D6DA-4179-9954-669D7017199C}">
      <text>
        <t>[Threaded comment]
Your version of Excel allows you to read this threaded comment; however, any edits to it will get removed if the file is opened in a newer version of Excel. Learn more: https://go.microsoft.com/fwlink/?linkid=870924
Comment:
    tbc</t>
      </text>
    </comment>
  </commentList>
</comments>
</file>

<file path=xl/sharedStrings.xml><?xml version="1.0" encoding="utf-8"?>
<sst xmlns="http://schemas.openxmlformats.org/spreadsheetml/2006/main" count="180" uniqueCount="53">
  <si>
    <t>EMEA North - CAPACITY PLAN</t>
  </si>
  <si>
    <t xml:space="preserve">Bank Holidays France </t>
  </si>
  <si>
    <t>Bank Holidays Prague :</t>
  </si>
  <si>
    <t>TRI</t>
  </si>
  <si>
    <t>Type</t>
  </si>
  <si>
    <t>ISM</t>
  </si>
  <si>
    <t>IPM</t>
  </si>
  <si>
    <t>Projects / Activities</t>
  </si>
  <si>
    <t>STATUS / Comm</t>
  </si>
  <si>
    <t>%</t>
  </si>
  <si>
    <t>Man Days</t>
  </si>
  <si>
    <t xml:space="preserve">GLOBAL EMEA North AVAIBILITY (%) : </t>
  </si>
  <si>
    <t>X</t>
  </si>
  <si>
    <t>Project (Active)</t>
  </si>
  <si>
    <t>W2.2 new pilot entities live in feb 09th / W2.4 March 5th go live</t>
  </si>
  <si>
    <t>Vietnam will go live on 1st April, then 1 month hypercare</t>
  </si>
  <si>
    <t>KO on the 03/03 - probably less than 130h. First wave should be completed on May 11. Other waves would be in July / September. To be reassigned</t>
  </si>
  <si>
    <t>Jan 5th go live</t>
  </si>
  <si>
    <t>Admin</t>
  </si>
  <si>
    <t>** CIP Support</t>
  </si>
  <si>
    <t>** Admin Time &amp; Internal Initatives</t>
  </si>
  <si>
    <t>6h per Week / 3 Days Month</t>
  </si>
  <si>
    <t>** Training &amp; Personal Education</t>
  </si>
  <si>
    <t xml:space="preserve">2h per week / 1 Day Month </t>
  </si>
  <si>
    <t>Absences</t>
  </si>
  <si>
    <t>** Bank Holiday (Prague)</t>
  </si>
  <si>
    <t>** Vacations</t>
  </si>
  <si>
    <t>project 1</t>
  </si>
  <si>
    <t>project 2</t>
  </si>
  <si>
    <t>project 3</t>
  </si>
  <si>
    <t>project 4</t>
  </si>
  <si>
    <t>UAT to be confirmed by mid week 11. Prod2Test to be done, then test entity to be configured. Then WS development (on-hold)</t>
  </si>
  <si>
    <t>Completed</t>
  </si>
  <si>
    <t>Kick-off week of 23/03. Then the design phase will be mainly driven by the client.</t>
  </si>
  <si>
    <t>x</t>
  </si>
  <si>
    <t>Go-live on the 23/03</t>
  </si>
  <si>
    <t>o</t>
  </si>
  <si>
    <t>Setting up the microservices in the new entity, to be finished by 21/03</t>
  </si>
  <si>
    <t>E&amp;C</t>
  </si>
  <si>
    <t>Daily cases, Site review 2024</t>
  </si>
  <si>
    <t>employee_2_name</t>
  </si>
  <si>
    <t>employee_1_name</t>
  </si>
  <si>
    <t>consulting engagement ongoing</t>
  </si>
  <si>
    <t>client 1 - project abc</t>
  </si>
  <si>
    <t>client 2 - project xyz</t>
  </si>
  <si>
    <t>client 3</t>
  </si>
  <si>
    <t>client 5</t>
  </si>
  <si>
    <t>client 999</t>
  </si>
  <si>
    <t>client 123</t>
  </si>
  <si>
    <t>client abc</t>
  </si>
  <si>
    <t xml:space="preserve">super important VIP client </t>
  </si>
  <si>
    <t xml:space="preserve">blah blah blah </t>
  </si>
  <si>
    <t>manager_1_name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</si>
</sst>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name val="Calibri"/>
      <family val="2"/>
      <scheme val="minor"/>
    </font>
    <font>
      <sz val="14"/>
      <color indexed="2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color rgb="FF1295C9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scheme val="minor"/>
    </font>
    <font>
      <b/>
      <sz val="14"/>
      <color theme="0" tint="-0.499984740745262"/>
      <name val="Calibri"/>
      <scheme val="minor"/>
    </font>
    <font>
      <b/>
      <sz val="14"/>
      <color rgb="FF1295C9"/>
      <name val="Calibri"/>
      <scheme val="minor"/>
    </font>
    <font>
      <sz val="14"/>
      <color indexed="20"/>
      <name val="Calibri"/>
      <scheme val="minor"/>
    </font>
    <font>
      <sz val="14"/>
      <color rgb="FF0000FF"/>
      <name val="Calibri"/>
      <scheme val="minor"/>
    </font>
    <font>
      <sz val="14"/>
      <name val="Calibri"/>
      <scheme val="minor"/>
    </font>
    <font>
      <b/>
      <sz val="14"/>
      <color rgb="FF61116A"/>
      <name val="Calibri"/>
      <family val="2"/>
      <scheme val="minor"/>
    </font>
    <font>
      <sz val="14"/>
      <color rgb="FF61116A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295C9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indexed="64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indexed="64"/>
      </bottom>
      <diagonal/>
    </border>
    <border>
      <left style="dotted">
        <color auto="1"/>
      </left>
      <right/>
      <top style="dotted">
        <color auto="1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uble">
        <color indexed="64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uble">
        <color indexed="64"/>
      </bottom>
      <diagonal/>
    </border>
  </borders>
  <cellStyleXfs count="3">
    <xf numFmtId="0" fontId="0" fillId="0" borderId="0">
      <alignment vertical="top"/>
    </xf>
    <xf numFmtId="0" fontId="1" fillId="0" borderId="0"/>
    <xf numFmtId="0" fontId="25" fillId="0" borderId="0" applyNumberFormat="0" applyFill="0" applyBorder="0" applyProtection="0">
      <alignment vertical="top"/>
    </xf>
  </cellStyleXfs>
  <cellXfs count="92">
    <xf numFmtId="0" fontId="0" fillId="0" borderId="0" xfId="0">
      <alignment vertical="top"/>
    </xf>
    <xf numFmtId="2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2" fillId="0" borderId="0" xfId="1" applyNumberFormat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14" fontId="2" fillId="0" borderId="1" xfId="1" applyNumberFormat="1" applyFont="1" applyBorder="1" applyAlignment="1">
      <alignment vertical="center"/>
    </xf>
    <xf numFmtId="14" fontId="2" fillId="0" borderId="2" xfId="1" applyNumberFormat="1" applyFont="1" applyBorder="1" applyAlignment="1">
      <alignment vertical="center"/>
    </xf>
    <xf numFmtId="14" fontId="2" fillId="0" borderId="3" xfId="1" applyNumberFormat="1" applyFont="1" applyBorder="1" applyAlignment="1">
      <alignment vertical="center"/>
    </xf>
    <xf numFmtId="2" fontId="3" fillId="0" borderId="0" xfId="1" applyNumberFormat="1" applyFont="1" applyAlignment="1">
      <alignment horizontal="center" vertical="center"/>
    </xf>
    <xf numFmtId="17" fontId="5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17" fontId="7" fillId="2" borderId="4" xfId="1" applyNumberFormat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17" fontId="5" fillId="2" borderId="0" xfId="1" applyNumberFormat="1" applyFont="1" applyFill="1" applyAlignment="1">
      <alignment horizontal="right" vertical="center"/>
    </xf>
    <xf numFmtId="17" fontId="5" fillId="2" borderId="6" xfId="1" applyNumberFormat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7" fontId="5" fillId="2" borderId="0" xfId="1" applyNumberFormat="1" applyFont="1" applyFill="1" applyAlignment="1">
      <alignment horizontal="center" vertical="center"/>
    </xf>
    <xf numFmtId="0" fontId="5" fillId="3" borderId="7" xfId="1" applyFont="1" applyFill="1" applyBorder="1" applyAlignment="1">
      <alignment horizontal="left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3" fillId="0" borderId="0" xfId="1" applyFont="1" applyAlignment="1">
      <alignment vertical="center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vertical="center" wrapText="1"/>
    </xf>
    <xf numFmtId="0" fontId="9" fillId="2" borderId="13" xfId="1" applyFont="1" applyFill="1" applyBorder="1" applyAlignment="1">
      <alignment horizontal="right" vertical="center" wrapText="1" indent="1"/>
    </xf>
    <xf numFmtId="9" fontId="10" fillId="4" borderId="14" xfId="1" applyNumberFormat="1" applyFont="1" applyFill="1" applyBorder="1" applyAlignment="1">
      <alignment horizontal="center" vertical="center"/>
    </xf>
    <xf numFmtId="1" fontId="10" fillId="2" borderId="15" xfId="1" applyNumberFormat="1" applyFont="1" applyFill="1" applyBorder="1" applyAlignment="1">
      <alignment horizontal="center" vertical="center"/>
    </xf>
    <xf numFmtId="1" fontId="10" fillId="2" borderId="16" xfId="1" applyNumberFormat="1" applyFont="1" applyFill="1" applyBorder="1" applyAlignment="1">
      <alignment horizontal="center" vertical="center"/>
    </xf>
    <xf numFmtId="2" fontId="11" fillId="0" borderId="0" xfId="1" applyNumberFormat="1" applyFont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horizontal="left" vertical="center"/>
    </xf>
    <xf numFmtId="0" fontId="3" fillId="5" borderId="6" xfId="1" applyFont="1" applyFill="1" applyBorder="1" applyAlignment="1">
      <alignment vertical="center"/>
    </xf>
    <xf numFmtId="0" fontId="3" fillId="5" borderId="17" xfId="1" applyFont="1" applyFill="1" applyBorder="1" applyAlignment="1">
      <alignment vertical="center"/>
    </xf>
    <xf numFmtId="0" fontId="3" fillId="5" borderId="18" xfId="1" applyFont="1" applyFill="1" applyBorder="1" applyAlignment="1">
      <alignment vertical="center"/>
    </xf>
    <xf numFmtId="2" fontId="6" fillId="0" borderId="0" xfId="1" applyNumberFormat="1" applyFont="1" applyAlignment="1">
      <alignment horizontal="center" vertical="center"/>
    </xf>
    <xf numFmtId="0" fontId="12" fillId="0" borderId="19" xfId="1" applyFont="1" applyBorder="1" applyAlignment="1">
      <alignment horizontal="center" vertical="center" wrapText="1"/>
    </xf>
    <xf numFmtId="0" fontId="13" fillId="0" borderId="19" xfId="1" applyFont="1" applyBorder="1" applyAlignment="1">
      <alignment vertical="center" wrapText="1"/>
    </xf>
    <xf numFmtId="0" fontId="13" fillId="0" borderId="19" xfId="1" applyFont="1" applyBorder="1" applyAlignment="1">
      <alignment horizontal="left" vertical="center" wrapText="1"/>
    </xf>
    <xf numFmtId="0" fontId="11" fillId="0" borderId="20" xfId="1" applyFont="1" applyBorder="1" applyAlignment="1">
      <alignment vertical="center"/>
    </xf>
    <xf numFmtId="9" fontId="14" fillId="6" borderId="21" xfId="1" applyNumberFormat="1" applyFont="1" applyFill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2" fontId="16" fillId="0" borderId="0" xfId="1" applyNumberFormat="1" applyFont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18" fillId="0" borderId="19" xfId="1" applyFont="1" applyBorder="1" applyAlignment="1">
      <alignment vertical="center" wrapText="1"/>
    </xf>
    <xf numFmtId="0" fontId="19" fillId="0" borderId="20" xfId="1" applyFont="1" applyBorder="1" applyAlignment="1">
      <alignment vertical="center"/>
    </xf>
    <xf numFmtId="9" fontId="20" fillId="6" borderId="21" xfId="1" applyNumberFormat="1" applyFont="1" applyFill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24" xfId="1" applyFont="1" applyBorder="1" applyAlignment="1">
      <alignment vertical="center" wrapText="1"/>
    </xf>
    <xf numFmtId="0" fontId="13" fillId="0" borderId="24" xfId="1" applyFont="1" applyBorder="1" applyAlignment="1">
      <alignment horizontal="left" vertical="center" wrapText="1"/>
    </xf>
    <xf numFmtId="0" fontId="11" fillId="0" borderId="25" xfId="1" applyFont="1" applyBorder="1" applyAlignment="1">
      <alignment vertical="center"/>
    </xf>
    <xf numFmtId="9" fontId="14" fillId="6" borderId="26" xfId="1" applyNumberFormat="1" applyFont="1" applyFill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0" fontId="18" fillId="7" borderId="19" xfId="1" applyFont="1" applyFill="1" applyBorder="1" applyAlignment="1">
      <alignment horizontal="left" vertical="center" wrapText="1"/>
    </xf>
    <xf numFmtId="0" fontId="12" fillId="8" borderId="19" xfId="1" applyFont="1" applyFill="1" applyBorder="1" applyAlignment="1">
      <alignment horizontal="center" vertical="center" wrapText="1"/>
    </xf>
    <xf numFmtId="0" fontId="22" fillId="8" borderId="19" xfId="1" applyFont="1" applyFill="1" applyBorder="1" applyAlignment="1">
      <alignment horizontal="center" vertical="center" wrapText="1"/>
    </xf>
    <xf numFmtId="0" fontId="23" fillId="8" borderId="19" xfId="1" applyFont="1" applyFill="1" applyBorder="1" applyAlignment="1">
      <alignment vertical="center" wrapText="1"/>
    </xf>
    <xf numFmtId="0" fontId="23" fillId="8" borderId="19" xfId="1" applyFont="1" applyFill="1" applyBorder="1" applyAlignment="1">
      <alignment horizontal="left" vertical="center" wrapText="1"/>
    </xf>
    <xf numFmtId="9" fontId="14" fillId="8" borderId="21" xfId="1" applyNumberFormat="1" applyFont="1" applyFill="1" applyBorder="1" applyAlignment="1">
      <alignment horizontal="center" vertical="center"/>
    </xf>
    <xf numFmtId="0" fontId="15" fillId="8" borderId="22" xfId="1" applyFont="1" applyFill="1" applyBorder="1" applyAlignment="1">
      <alignment horizontal="center" vertical="center"/>
    </xf>
    <xf numFmtId="0" fontId="15" fillId="8" borderId="23" xfId="1" applyFont="1" applyFill="1" applyBorder="1" applyAlignment="1">
      <alignment horizontal="center" vertical="center"/>
    </xf>
    <xf numFmtId="2" fontId="3" fillId="0" borderId="29" xfId="1" applyNumberFormat="1" applyFont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 wrapText="1"/>
    </xf>
    <xf numFmtId="0" fontId="5" fillId="3" borderId="30" xfId="1" applyFont="1" applyFill="1" applyBorder="1" applyAlignment="1">
      <alignment vertical="center" wrapText="1"/>
    </xf>
    <xf numFmtId="0" fontId="5" fillId="3" borderId="30" xfId="1" applyFont="1" applyFill="1" applyBorder="1" applyAlignment="1">
      <alignment horizontal="left" vertical="center" wrapText="1"/>
    </xf>
    <xf numFmtId="0" fontId="3" fillId="0" borderId="31" xfId="1" applyFont="1" applyBorder="1" applyAlignment="1">
      <alignment vertical="center"/>
    </xf>
    <xf numFmtId="9" fontId="24" fillId="4" borderId="32" xfId="1" applyNumberFormat="1" applyFont="1" applyFill="1" applyBorder="1" applyAlignment="1">
      <alignment horizontal="center" vertical="center"/>
    </xf>
    <xf numFmtId="0" fontId="15" fillId="3" borderId="33" xfId="1" applyFont="1" applyFill="1" applyBorder="1" applyAlignment="1">
      <alignment horizontal="center" vertical="center"/>
    </xf>
    <xf numFmtId="0" fontId="15" fillId="3" borderId="34" xfId="1" applyFont="1" applyFill="1" applyBorder="1" applyAlignment="1">
      <alignment horizontal="center" vertical="center"/>
    </xf>
    <xf numFmtId="0" fontId="3" fillId="0" borderId="29" xfId="1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13" fillId="0" borderId="19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left" vertical="center" wrapText="1"/>
    </xf>
    <xf numFmtId="17" fontId="4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Hyperlink" xfId="2" xr:uid="{6F1F6DA3-CC55-4266-857C-4356EF5F8FE0}"/>
    <cellStyle name="Normal" xfId="0" builtinId="0"/>
    <cellStyle name="Normal 39" xfId="1" xr:uid="{86B2617D-0A15-43F4-A76A-2D4A58E27EE5}"/>
  </cellStyles>
  <dxfs count="71"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rgb="FFCCFFFF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indexed="43"/>
        </patternFill>
      </fill>
    </dxf>
    <dxf>
      <fill>
        <patternFill>
          <bgColor rgb="FFFFCC66"/>
        </patternFill>
      </fill>
    </dxf>
    <dxf>
      <fill>
        <patternFill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 patternType="solid">
          <fgColor indexed="26"/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8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 patternType="solid">
          <fgColor indexed="26"/>
          <bgColor indexed="43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CCFFFF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indexed="43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val, Thibaut" id="{5ECF9C89-CBBD-485A-91D4-D70057824744}" userId="S::thibaut.carval@sap.com::779f95e9-95d7-4c02-bbfc-e6857eb45cf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2" dT="2026-02-18T15:10:32.76" personId="{5ECF9C89-CBBD-485A-91D4-D70057824744}" id="{4FF61073-1451-4736-A32C-B432C88C52A8}">
    <text>tbc</text>
  </threadedComment>
  <threadedComment ref="Q32" dT="2026-02-18T15:10:32.76" personId="{5ECF9C89-CBBD-485A-91D4-D70057824744}" id="{4B802379-D6DA-4179-9954-669D7017199C}">
    <text>tbc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7D9D-92B5-4180-B26B-DD94BF6CFD66}">
  <sheetPr>
    <tabColor rgb="FF1295C9"/>
    <pageSetUpPr fitToPage="1"/>
  </sheetPr>
  <dimension ref="A1:AI34"/>
  <sheetViews>
    <sheetView tabSelected="1" zoomScale="80" zoomScaleNormal="80" workbookViewId="0">
      <pane ySplit="5" topLeftCell="A24" activePane="bottomLeft" state="frozen"/>
      <selection pane="bottomLeft" activeCell="E30" sqref="E30"/>
    </sheetView>
  </sheetViews>
  <sheetFormatPr defaultColWidth="11.42578125" defaultRowHeight="18.75" outlineLevelCol="1" x14ac:dyDescent="0.2"/>
  <cols>
    <col min="1" max="1" width="7.42578125" style="10" customWidth="1"/>
    <col min="2" max="3" width="21.42578125" style="16" customWidth="1"/>
    <col min="4" max="4" width="27.140625" style="16" customWidth="1"/>
    <col min="5" max="5" width="77.42578125" style="27" customWidth="1"/>
    <col min="6" max="6" width="86.42578125" style="86" customWidth="1"/>
    <col min="7" max="7" width="2.5703125" style="27" customWidth="1"/>
    <col min="8" max="8" width="15.5703125" style="27" customWidth="1" outlineLevel="1"/>
    <col min="9" max="9" width="14.42578125" style="27" customWidth="1" outlineLevel="1"/>
    <col min="10" max="10" width="16.140625" style="27" customWidth="1" outlineLevel="1"/>
    <col min="11" max="11" width="17.42578125" style="27" customWidth="1" outlineLevel="1"/>
    <col min="12" max="12" width="13" style="27" customWidth="1" outlineLevel="1"/>
    <col min="13" max="13" width="17.42578125" style="27" customWidth="1" outlineLevel="1"/>
    <col min="14" max="14" width="13" style="27" customWidth="1"/>
    <col min="15" max="15" width="17.42578125" style="27" customWidth="1"/>
    <col min="16" max="16" width="13" style="27" customWidth="1"/>
    <col min="17" max="17" width="17.42578125" style="27" customWidth="1"/>
    <col min="18" max="18" width="13" style="27" customWidth="1"/>
    <col min="19" max="19" width="17.42578125" style="27" customWidth="1"/>
    <col min="20" max="20" width="13" style="27" customWidth="1"/>
    <col min="21" max="21" width="17.42578125" style="27" customWidth="1"/>
    <col min="22" max="22" width="13" style="27" customWidth="1"/>
    <col min="23" max="23" width="17.42578125" style="27" customWidth="1"/>
    <col min="24" max="24" width="13" style="27" customWidth="1"/>
    <col min="25" max="25" width="17.42578125" style="27" customWidth="1"/>
    <col min="26" max="26" width="13" style="27" bestFit="1" customWidth="1"/>
    <col min="27" max="27" width="17.42578125" style="27" bestFit="1" customWidth="1"/>
    <col min="28" max="28" width="13.42578125" style="27" bestFit="1" customWidth="1"/>
    <col min="29" max="29" width="17.42578125" style="27" bestFit="1" customWidth="1"/>
    <col min="30" max="30" width="13.42578125" style="27" bestFit="1" customWidth="1"/>
    <col min="31" max="31" width="17.42578125" style="27" bestFit="1" customWidth="1"/>
    <col min="32" max="32" width="13.42578125" style="27" bestFit="1" customWidth="1"/>
    <col min="33" max="33" width="17.42578125" style="27" bestFit="1" customWidth="1"/>
    <col min="34" max="34" width="13" style="27" bestFit="1" customWidth="1"/>
    <col min="35" max="35" width="17.42578125" style="27" bestFit="1" customWidth="1"/>
    <col min="36" max="16384" width="11.42578125" style="27"/>
  </cols>
  <sheetData>
    <row r="1" spans="1:35" s="6" customFormat="1" ht="15.75" x14ac:dyDescent="0.2">
      <c r="A1" s="1"/>
      <c r="B1" s="2"/>
      <c r="C1" s="2"/>
      <c r="D1" s="3"/>
      <c r="E1" s="4"/>
      <c r="F1" s="5"/>
      <c r="H1" s="7">
        <v>45992</v>
      </c>
      <c r="I1" s="8">
        <f>H1+30</f>
        <v>46022</v>
      </c>
      <c r="J1" s="7">
        <f>I1+1</f>
        <v>46023</v>
      </c>
      <c r="K1" s="8">
        <f>L1-1</f>
        <v>46053</v>
      </c>
      <c r="L1" s="7">
        <v>46054</v>
      </c>
      <c r="M1" s="8">
        <f>N1-1</f>
        <v>46081</v>
      </c>
      <c r="N1" s="7">
        <v>46082</v>
      </c>
      <c r="O1" s="8">
        <f>P1-1</f>
        <v>46112</v>
      </c>
      <c r="P1" s="7">
        <v>46113</v>
      </c>
      <c r="Q1" s="8">
        <f>R1-1</f>
        <v>46142</v>
      </c>
      <c r="R1" s="7">
        <v>46143</v>
      </c>
      <c r="S1" s="8">
        <f>T1-1</f>
        <v>46173</v>
      </c>
      <c r="T1" s="7">
        <v>46174</v>
      </c>
      <c r="U1" s="8">
        <f>V1-1</f>
        <v>46203</v>
      </c>
      <c r="V1" s="7">
        <v>46204</v>
      </c>
      <c r="W1" s="8">
        <f>X1-1</f>
        <v>46234</v>
      </c>
      <c r="X1" s="7">
        <v>46235</v>
      </c>
      <c r="Y1" s="8">
        <f>Z1-1</f>
        <v>46265</v>
      </c>
      <c r="Z1" s="7">
        <v>46266</v>
      </c>
      <c r="AA1" s="8">
        <f>AB1-1</f>
        <v>46295</v>
      </c>
      <c r="AB1" s="7">
        <v>46296</v>
      </c>
      <c r="AC1" s="8">
        <f>AD1-1</f>
        <v>46326</v>
      </c>
      <c r="AD1" s="7">
        <v>46327</v>
      </c>
      <c r="AE1" s="8">
        <f>AF1-1</f>
        <v>46356</v>
      </c>
      <c r="AF1" s="7">
        <v>46357</v>
      </c>
      <c r="AG1" s="8">
        <f>AH1-1</f>
        <v>46387</v>
      </c>
      <c r="AH1" s="7">
        <v>46388</v>
      </c>
      <c r="AI1" s="9">
        <v>46418</v>
      </c>
    </row>
    <row r="2" spans="1:35" s="16" customFormat="1" ht="27.95" customHeight="1" x14ac:dyDescent="0.2">
      <c r="A2" s="10"/>
      <c r="B2" s="90" t="s">
        <v>0</v>
      </c>
      <c r="C2" s="90"/>
      <c r="D2" s="90"/>
      <c r="E2" s="90"/>
      <c r="F2" s="11"/>
      <c r="G2" s="12"/>
      <c r="H2" s="13">
        <f>H1</f>
        <v>45992</v>
      </c>
      <c r="I2" s="14">
        <f>NETWORKDAYS(H1,I1,)</f>
        <v>23</v>
      </c>
      <c r="J2" s="13">
        <f>J1</f>
        <v>46023</v>
      </c>
      <c r="K2" s="14">
        <f t="shared" ref="K2" si="0">NETWORKDAYS(J1,K1,)</f>
        <v>22</v>
      </c>
      <c r="L2" s="13">
        <f t="shared" ref="L2" si="1">L1</f>
        <v>46054</v>
      </c>
      <c r="M2" s="14">
        <f>NETWORKDAYS(L1,M1,)</f>
        <v>20</v>
      </c>
      <c r="N2" s="13">
        <f t="shared" ref="N2" si="2">N1</f>
        <v>46082</v>
      </c>
      <c r="O2" s="14">
        <f t="shared" ref="O2" si="3">NETWORKDAYS(N1,O1,)</f>
        <v>22</v>
      </c>
      <c r="P2" s="13">
        <f t="shared" ref="P2" si="4">P1</f>
        <v>46113</v>
      </c>
      <c r="Q2" s="14">
        <f t="shared" ref="Q2" si="5">NETWORKDAYS(P1,Q1,)</f>
        <v>22</v>
      </c>
      <c r="R2" s="13">
        <f t="shared" ref="R2" si="6">R1</f>
        <v>46143</v>
      </c>
      <c r="S2" s="14">
        <f t="shared" ref="S2" si="7">NETWORKDAYS(R1,S1,)</f>
        <v>21</v>
      </c>
      <c r="T2" s="13">
        <f t="shared" ref="T2" si="8">T1</f>
        <v>46174</v>
      </c>
      <c r="U2" s="14">
        <f t="shared" ref="U2" si="9">NETWORKDAYS(T1,U1,)</f>
        <v>22</v>
      </c>
      <c r="V2" s="13">
        <f t="shared" ref="V2" si="10">V1</f>
        <v>46204</v>
      </c>
      <c r="W2" s="14">
        <f t="shared" ref="W2" si="11">NETWORKDAYS(V1,W1,)</f>
        <v>23</v>
      </c>
      <c r="X2" s="13">
        <f>X1</f>
        <v>46235</v>
      </c>
      <c r="Y2" s="14">
        <f t="shared" ref="Y2" si="12">NETWORKDAYS(X1,Y1,)</f>
        <v>21</v>
      </c>
      <c r="Z2" s="13">
        <f t="shared" ref="Z2" si="13">Z1</f>
        <v>46266</v>
      </c>
      <c r="AA2" s="14">
        <f t="shared" ref="AA2" si="14">NETWORKDAYS(Z1,AA1,)</f>
        <v>22</v>
      </c>
      <c r="AB2" s="13">
        <f>AB1</f>
        <v>46296</v>
      </c>
      <c r="AC2" s="14">
        <f>NETWORKDAYS(AB1,AC1,)</f>
        <v>22</v>
      </c>
      <c r="AD2" s="13">
        <f>AD1</f>
        <v>46327</v>
      </c>
      <c r="AE2" s="14">
        <f t="shared" ref="AE2" si="15">NETWORKDAYS(AD1,AE1,)</f>
        <v>21</v>
      </c>
      <c r="AF2" s="13">
        <f>AF1</f>
        <v>46357</v>
      </c>
      <c r="AG2" s="14">
        <f t="shared" ref="AG2" si="16">NETWORKDAYS(AF1,AG1,)</f>
        <v>23</v>
      </c>
      <c r="AH2" s="13">
        <f t="shared" ref="AH2" si="17">AH1</f>
        <v>46388</v>
      </c>
      <c r="AI2" s="15">
        <f t="shared" ref="AI2" si="18">NETWORKDAYS(AH1,AI1,)</f>
        <v>21</v>
      </c>
    </row>
    <row r="3" spans="1:35" s="16" customFormat="1" ht="21.95" customHeight="1" x14ac:dyDescent="0.2">
      <c r="A3" s="10"/>
      <c r="B3" s="17"/>
      <c r="C3" s="91">
        <v>2026</v>
      </c>
      <c r="D3" s="91"/>
      <c r="E3" s="91"/>
      <c r="F3" s="18" t="s">
        <v>1</v>
      </c>
      <c r="G3" s="12"/>
      <c r="H3" s="19"/>
      <c r="I3" s="20">
        <v>1</v>
      </c>
      <c r="J3" s="19"/>
      <c r="K3" s="20">
        <v>1</v>
      </c>
      <c r="L3" s="19"/>
      <c r="M3" s="20">
        <v>0</v>
      </c>
      <c r="N3" s="19"/>
      <c r="O3" s="20">
        <v>0</v>
      </c>
      <c r="P3" s="19"/>
      <c r="Q3" s="20">
        <v>1</v>
      </c>
      <c r="R3" s="19"/>
      <c r="S3" s="20">
        <v>3</v>
      </c>
      <c r="T3" s="19"/>
      <c r="U3" s="20">
        <v>1</v>
      </c>
      <c r="V3" s="19"/>
      <c r="W3" s="20">
        <v>1</v>
      </c>
      <c r="X3" s="19"/>
      <c r="Y3" s="20">
        <v>1</v>
      </c>
      <c r="Z3" s="19"/>
      <c r="AA3" s="20">
        <v>0</v>
      </c>
      <c r="AB3" s="19"/>
      <c r="AC3" s="20">
        <v>0</v>
      </c>
      <c r="AD3" s="19"/>
      <c r="AE3" s="20">
        <v>1</v>
      </c>
      <c r="AF3" s="19"/>
      <c r="AG3" s="20">
        <v>1</v>
      </c>
      <c r="AH3" s="19"/>
      <c r="AI3" s="21">
        <v>0</v>
      </c>
    </row>
    <row r="4" spans="1:35" s="16" customFormat="1" ht="21.95" customHeight="1" x14ac:dyDescent="0.2">
      <c r="A4" s="10"/>
      <c r="B4" s="22"/>
      <c r="C4" s="22"/>
      <c r="D4" s="22"/>
      <c r="E4" s="11"/>
      <c r="F4" s="18" t="s">
        <v>2</v>
      </c>
      <c r="G4" s="12"/>
      <c r="H4" s="19"/>
      <c r="I4" s="20">
        <v>2</v>
      </c>
      <c r="J4" s="19"/>
      <c r="K4" s="20">
        <v>1</v>
      </c>
      <c r="L4" s="19"/>
      <c r="M4" s="20">
        <v>0</v>
      </c>
      <c r="N4" s="19"/>
      <c r="O4" s="20">
        <v>0</v>
      </c>
      <c r="P4" s="19"/>
      <c r="Q4" s="20">
        <v>2</v>
      </c>
      <c r="R4" s="19"/>
      <c r="S4" s="20">
        <v>2</v>
      </c>
      <c r="T4" s="19"/>
      <c r="U4" s="20">
        <v>0</v>
      </c>
      <c r="V4" s="19"/>
      <c r="W4" s="20">
        <v>0</v>
      </c>
      <c r="X4" s="19"/>
      <c r="Y4" s="20">
        <v>0</v>
      </c>
      <c r="Z4" s="19"/>
      <c r="AA4" s="20">
        <v>0</v>
      </c>
      <c r="AB4" s="19"/>
      <c r="AC4" s="20">
        <v>1</v>
      </c>
      <c r="AD4" s="19"/>
      <c r="AE4" s="20">
        <v>1</v>
      </c>
      <c r="AF4" s="19"/>
      <c r="AG4" s="20">
        <v>3</v>
      </c>
      <c r="AH4" s="19"/>
      <c r="AI4" s="21">
        <v>1</v>
      </c>
    </row>
    <row r="5" spans="1:35" ht="19.5" thickBot="1" x14ac:dyDescent="0.25">
      <c r="A5" s="23" t="s">
        <v>3</v>
      </c>
      <c r="B5" s="24" t="s">
        <v>4</v>
      </c>
      <c r="C5" s="24" t="s">
        <v>5</v>
      </c>
      <c r="D5" s="24" t="s">
        <v>6</v>
      </c>
      <c r="E5" s="25" t="s">
        <v>7</v>
      </c>
      <c r="F5" s="26" t="s">
        <v>8</v>
      </c>
      <c r="H5" s="28" t="s">
        <v>9</v>
      </c>
      <c r="I5" s="29" t="s">
        <v>10</v>
      </c>
      <c r="J5" s="28" t="s">
        <v>9</v>
      </c>
      <c r="K5" s="29" t="s">
        <v>10</v>
      </c>
      <c r="L5" s="28" t="s">
        <v>9</v>
      </c>
      <c r="M5" s="29" t="s">
        <v>10</v>
      </c>
      <c r="N5" s="28" t="s">
        <v>9</v>
      </c>
      <c r="O5" s="29" t="s">
        <v>10</v>
      </c>
      <c r="P5" s="28" t="s">
        <v>9</v>
      </c>
      <c r="Q5" s="29" t="s">
        <v>10</v>
      </c>
      <c r="R5" s="28" t="s">
        <v>9</v>
      </c>
      <c r="S5" s="29" t="s">
        <v>10</v>
      </c>
      <c r="T5" s="28" t="s">
        <v>9</v>
      </c>
      <c r="U5" s="29" t="s">
        <v>10</v>
      </c>
      <c r="V5" s="28" t="s">
        <v>9</v>
      </c>
      <c r="W5" s="29" t="s">
        <v>10</v>
      </c>
      <c r="X5" s="28" t="s">
        <v>9</v>
      </c>
      <c r="Y5" s="29" t="s">
        <v>10</v>
      </c>
      <c r="Z5" s="28" t="s">
        <v>9</v>
      </c>
      <c r="AA5" s="29" t="s">
        <v>10</v>
      </c>
      <c r="AB5" s="28" t="s">
        <v>9</v>
      </c>
      <c r="AC5" s="29" t="s">
        <v>10</v>
      </c>
      <c r="AD5" s="28" t="s">
        <v>9</v>
      </c>
      <c r="AE5" s="29" t="s">
        <v>10</v>
      </c>
      <c r="AF5" s="28" t="s">
        <v>9</v>
      </c>
      <c r="AG5" s="29" t="s">
        <v>10</v>
      </c>
      <c r="AH5" s="28" t="s">
        <v>9</v>
      </c>
      <c r="AI5" s="30" t="s">
        <v>10</v>
      </c>
    </row>
    <row r="6" spans="1:35" ht="26.25" x14ac:dyDescent="0.2">
      <c r="B6" s="31"/>
      <c r="C6" s="31"/>
      <c r="D6" s="32"/>
      <c r="E6" s="33"/>
      <c r="F6" s="34" t="s">
        <v>11</v>
      </c>
      <c r="H6" s="35" t="e">
        <f>AVERAGE(#REF!,#REF!,#REF!,#REF!,#REF!,#REF!,H17,#REF!,#REF!,#REF!,#REF!,#REF!,#REF!,#REF!,#REF!,#REF!,#REF!,#REF!,#REF!,#REF!,#REF!,#REF!,#REF!,#REF!)</f>
        <v>#REF!</v>
      </c>
      <c r="I6" s="36"/>
      <c r="J6" s="35" t="e">
        <f>AVERAGE(#REF!,#REF!,#REF!,#REF!,#REF!,#REF!,J17,#REF!,#REF!,#REF!,#REF!,#REF!,#REF!,#REF!,#REF!,#REF!,#REF!,#REF!,#REF!,#REF!,#REF!,#REF!,#REF!,#REF!)</f>
        <v>#REF!</v>
      </c>
      <c r="K6" s="36"/>
      <c r="L6" s="35" t="e">
        <f>AVERAGE(#REF!,#REF!,#REF!,#REF!,#REF!,#REF!,L17,#REF!,#REF!,#REF!,#REF!,#REF!,#REF!,#REF!,#REF!,#REF!,#REF!,#REF!,#REF!,#REF!,#REF!,#REF!,#REF!,#REF!)</f>
        <v>#REF!</v>
      </c>
      <c r="M6" s="36"/>
      <c r="N6" s="35" t="e">
        <f>AVERAGE(#REF!,#REF!,#REF!,#REF!,#REF!,#REF!,N17,#REF!,#REF!,#REF!,#REF!,#REF!,#REF!,#REF!,#REF!,#REF!,#REF!,#REF!,#REF!,#REF!,#REF!,#REF!,#REF!,#REF!)</f>
        <v>#REF!</v>
      </c>
      <c r="O6" s="36"/>
      <c r="P6" s="35" t="e">
        <f>AVERAGE(#REF!,#REF!,#REF!,#REF!,#REF!,#REF!,P17,#REF!,#REF!,#REF!,#REF!,#REF!,#REF!,#REF!,#REF!,#REF!,#REF!,#REF!,#REF!,#REF!,#REF!,#REF!,#REF!,#REF!)</f>
        <v>#REF!</v>
      </c>
      <c r="Q6" s="36"/>
      <c r="R6" s="35" t="e">
        <f>AVERAGE(#REF!,#REF!,#REF!,#REF!,#REF!,#REF!,R17,#REF!,#REF!,#REF!,#REF!,#REF!,#REF!,#REF!,#REF!,#REF!,#REF!,#REF!,#REF!,#REF!,#REF!,#REF!,#REF!,#REF!)</f>
        <v>#REF!</v>
      </c>
      <c r="S6" s="36"/>
      <c r="T6" s="35" t="e">
        <f>AVERAGE(#REF!,#REF!,#REF!,#REF!,#REF!,#REF!,T17,#REF!,#REF!,#REF!,#REF!,#REF!,#REF!,#REF!,#REF!,#REF!,#REF!,#REF!,#REF!,#REF!,#REF!,#REF!,#REF!,#REF!)</f>
        <v>#REF!</v>
      </c>
      <c r="U6" s="36"/>
      <c r="V6" s="35" t="e">
        <f>AVERAGE(#REF!,#REF!,#REF!,#REF!,#REF!,#REF!,V17,#REF!,#REF!,#REF!,#REF!,#REF!,#REF!,#REF!,#REF!,#REF!,#REF!,#REF!,#REF!,#REF!,#REF!,#REF!,#REF!,#REF!)</f>
        <v>#REF!</v>
      </c>
      <c r="W6" s="36"/>
      <c r="X6" s="35" t="e">
        <f>AVERAGE(#REF!,#REF!,#REF!,#REF!,#REF!,#REF!,X17,#REF!,#REF!,#REF!,#REF!,#REF!,#REF!,#REF!,#REF!,#REF!,#REF!,#REF!,#REF!,#REF!,#REF!,#REF!,#REF!,#REF!)</f>
        <v>#REF!</v>
      </c>
      <c r="Y6" s="36"/>
      <c r="Z6" s="35" t="e">
        <f>AVERAGE(#REF!,#REF!,#REF!,#REF!,#REF!,#REF!,Z17,#REF!,#REF!,#REF!,#REF!,#REF!,#REF!,#REF!,#REF!,#REF!,#REF!,#REF!,#REF!,#REF!,#REF!,#REF!,#REF!,#REF!)</f>
        <v>#REF!</v>
      </c>
      <c r="AA6" s="36"/>
      <c r="AB6" s="35" t="e">
        <f>AVERAGE(#REF!,#REF!,#REF!,#REF!,#REF!,#REF!,AB17,#REF!,#REF!,#REF!,#REF!,#REF!,#REF!,#REF!,#REF!,#REF!,#REF!,#REF!,#REF!,#REF!,#REF!,#REF!,#REF!,#REF!)</f>
        <v>#REF!</v>
      </c>
      <c r="AC6" s="36"/>
      <c r="AD6" s="35" t="e">
        <f>AVERAGE(#REF!,#REF!,#REF!,#REF!,#REF!,#REF!,AD17,#REF!,#REF!,#REF!,#REF!,#REF!,#REF!,#REF!,#REF!,#REF!,#REF!,#REF!,#REF!,#REF!,#REF!,#REF!,#REF!,#REF!)</f>
        <v>#REF!</v>
      </c>
      <c r="AE6" s="36"/>
      <c r="AF6" s="35" t="e">
        <f>AVERAGE(#REF!,#REF!,#REF!,#REF!,#REF!,#REF!,AF17,#REF!,#REF!,#REF!,#REF!,#REF!,#REF!,#REF!,#REF!,#REF!,#REF!,#REF!,#REF!,#REF!,#REF!,#REF!,#REF!,#REF!)</f>
        <v>#REF!</v>
      </c>
      <c r="AG6" s="36"/>
      <c r="AH6" s="35" t="e">
        <f>AVERAGE(#REF!,#REF!,#REF!,#REF!,#REF!,#REF!,AH17,#REF!,#REF!,#REF!,#REF!,#REF!,#REF!,#REF!,#REF!,#REF!,#REF!,#REF!,#REF!,#REF!,#REF!,#REF!,#REF!,#REF!)</f>
        <v>#REF!</v>
      </c>
      <c r="AI6" s="37"/>
    </row>
    <row r="7" spans="1:35" x14ac:dyDescent="0.2">
      <c r="A7" s="38"/>
      <c r="B7" s="39"/>
      <c r="C7" s="39" t="s">
        <v>12</v>
      </c>
      <c r="D7" s="39" t="s">
        <v>12</v>
      </c>
      <c r="E7" s="40" t="s">
        <v>12</v>
      </c>
      <c r="F7" s="41" t="s">
        <v>12</v>
      </c>
      <c r="G7" s="40" t="s">
        <v>12</v>
      </c>
      <c r="H7" s="42" t="s">
        <v>12</v>
      </c>
      <c r="I7" s="43" t="s">
        <v>12</v>
      </c>
      <c r="J7" s="42" t="s">
        <v>12</v>
      </c>
      <c r="K7" s="43" t="s">
        <v>12</v>
      </c>
      <c r="L7" s="42" t="s">
        <v>12</v>
      </c>
      <c r="M7" s="43"/>
      <c r="N7" s="42" t="s">
        <v>12</v>
      </c>
      <c r="O7" s="43"/>
      <c r="P7" s="42" t="s">
        <v>12</v>
      </c>
      <c r="Q7" s="43"/>
      <c r="R7" s="42" t="s">
        <v>12</v>
      </c>
      <c r="S7" s="43"/>
      <c r="T7" s="42" t="s">
        <v>12</v>
      </c>
      <c r="U7" s="43"/>
      <c r="V7" s="42" t="s">
        <v>12</v>
      </c>
      <c r="W7" s="43"/>
      <c r="X7" s="42" t="s">
        <v>12</v>
      </c>
      <c r="Y7" s="43"/>
      <c r="Z7" s="42" t="s">
        <v>12</v>
      </c>
      <c r="AA7" s="43"/>
      <c r="AB7" s="42" t="s">
        <v>12</v>
      </c>
      <c r="AC7" s="43"/>
      <c r="AD7" s="42" t="s">
        <v>12</v>
      </c>
      <c r="AE7" s="43"/>
      <c r="AF7" s="42" t="s">
        <v>12</v>
      </c>
      <c r="AG7" s="43"/>
      <c r="AH7" s="42" t="s">
        <v>12</v>
      </c>
      <c r="AI7" s="44"/>
    </row>
    <row r="8" spans="1:35" s="53" customFormat="1" ht="25.5" customHeight="1" x14ac:dyDescent="0.2">
      <c r="A8" s="45"/>
      <c r="B8" s="61" t="s">
        <v>13</v>
      </c>
      <c r="C8" s="61" t="s">
        <v>52</v>
      </c>
      <c r="D8" s="62" t="s">
        <v>41</v>
      </c>
      <c r="E8" s="63" t="s">
        <v>27</v>
      </c>
      <c r="F8" s="64" t="s">
        <v>14</v>
      </c>
      <c r="G8" s="65"/>
      <c r="H8" s="66">
        <f t="shared" ref="H8:H16" si="19">I8/I$2</f>
        <v>0.21739130434782608</v>
      </c>
      <c r="I8" s="67">
        <v>5</v>
      </c>
      <c r="J8" s="66">
        <f t="shared" ref="J8:J16" si="20">K8/K$2</f>
        <v>0.13636363636363635</v>
      </c>
      <c r="K8" s="67">
        <v>3</v>
      </c>
      <c r="L8" s="66">
        <f t="shared" ref="L8:L16" si="21">M8/M$2</f>
        <v>0.1</v>
      </c>
      <c r="M8" s="67">
        <v>2</v>
      </c>
      <c r="N8" s="66">
        <f t="shared" ref="N8:N16" si="22">O8/O$2</f>
        <v>4.5454545454545456E-2</v>
      </c>
      <c r="O8" s="67">
        <v>1</v>
      </c>
      <c r="P8" s="66">
        <f t="shared" ref="P8:P16" si="23">Q8/Q$2</f>
        <v>4.5454545454545456E-2</v>
      </c>
      <c r="Q8" s="67">
        <v>1</v>
      </c>
      <c r="R8" s="66">
        <f t="shared" ref="R8:R16" si="24">S8/S$2</f>
        <v>0</v>
      </c>
      <c r="S8" s="67"/>
      <c r="T8" s="66">
        <f t="shared" ref="T8:T16" si="25">U8/U$2</f>
        <v>0</v>
      </c>
      <c r="U8" s="67"/>
      <c r="V8" s="66">
        <f t="shared" ref="V8:V16" si="26">W8/W$2</f>
        <v>0</v>
      </c>
      <c r="W8" s="67"/>
      <c r="X8" s="66">
        <f t="shared" ref="X8:X16" si="27">Y8/Y$2</f>
        <v>0</v>
      </c>
      <c r="Y8" s="67"/>
      <c r="Z8" s="66">
        <f t="shared" ref="Z8:Z16" si="28">AA8/AA$2</f>
        <v>0</v>
      </c>
      <c r="AA8" s="67"/>
      <c r="AB8" s="66">
        <f t="shared" ref="AB8:AB16" si="29">AC8/AC$2</f>
        <v>0</v>
      </c>
      <c r="AC8" s="67"/>
      <c r="AD8" s="66">
        <f t="shared" ref="AD8:AD16" si="30">AE8/AE$2</f>
        <v>0</v>
      </c>
      <c r="AE8" s="67"/>
      <c r="AF8" s="66">
        <f t="shared" ref="AF8:AF16" si="31">AG8/AG$2</f>
        <v>0</v>
      </c>
      <c r="AG8" s="67"/>
      <c r="AH8" s="66">
        <f t="shared" ref="AH8:AH16" si="32">AI8/AI$2</f>
        <v>0</v>
      </c>
      <c r="AI8" s="68"/>
    </row>
    <row r="9" spans="1:35" s="53" customFormat="1" ht="37.5" x14ac:dyDescent="0.2">
      <c r="A9" s="45"/>
      <c r="B9" s="46" t="s">
        <v>13</v>
      </c>
      <c r="C9" s="61" t="s">
        <v>52</v>
      </c>
      <c r="D9" s="62" t="s">
        <v>41</v>
      </c>
      <c r="E9" s="47" t="s">
        <v>28</v>
      </c>
      <c r="F9" s="48" t="s">
        <v>15</v>
      </c>
      <c r="G9" s="49"/>
      <c r="H9" s="50">
        <f t="shared" si="19"/>
        <v>0.17391304347826086</v>
      </c>
      <c r="I9" s="51">
        <v>4</v>
      </c>
      <c r="J9" s="50">
        <f t="shared" si="20"/>
        <v>0.18181818181818182</v>
      </c>
      <c r="K9" s="51">
        <v>4</v>
      </c>
      <c r="L9" s="50">
        <f t="shared" si="21"/>
        <v>0.15</v>
      </c>
      <c r="M9" s="51">
        <v>3</v>
      </c>
      <c r="N9" s="50">
        <f t="shared" si="22"/>
        <v>9.0909090909090912E-2</v>
      </c>
      <c r="O9" s="51">
        <v>2</v>
      </c>
      <c r="P9" s="50">
        <f t="shared" si="23"/>
        <v>9.0909090909090912E-2</v>
      </c>
      <c r="Q9" s="51">
        <v>2</v>
      </c>
      <c r="R9" s="50">
        <f t="shared" si="24"/>
        <v>0</v>
      </c>
      <c r="S9" s="51"/>
      <c r="T9" s="50">
        <f t="shared" si="25"/>
        <v>0</v>
      </c>
      <c r="U9" s="51"/>
      <c r="V9" s="50">
        <f t="shared" si="26"/>
        <v>0</v>
      </c>
      <c r="W9" s="51"/>
      <c r="X9" s="50">
        <f t="shared" si="27"/>
        <v>0</v>
      </c>
      <c r="Y9" s="51"/>
      <c r="Z9" s="50">
        <f t="shared" si="28"/>
        <v>0</v>
      </c>
      <c r="AA9" s="51"/>
      <c r="AB9" s="50">
        <f t="shared" si="29"/>
        <v>0</v>
      </c>
      <c r="AC9" s="51"/>
      <c r="AD9" s="50">
        <f t="shared" si="30"/>
        <v>0</v>
      </c>
      <c r="AE9" s="51"/>
      <c r="AF9" s="50">
        <f t="shared" si="31"/>
        <v>0</v>
      </c>
      <c r="AG9" s="51"/>
      <c r="AH9" s="50">
        <f t="shared" si="32"/>
        <v>0</v>
      </c>
      <c r="AI9" s="52"/>
    </row>
    <row r="10" spans="1:35" s="53" customFormat="1" ht="56.25" x14ac:dyDescent="0.2">
      <c r="A10" s="54"/>
      <c r="B10" s="55" t="s">
        <v>13</v>
      </c>
      <c r="C10" s="61" t="s">
        <v>52</v>
      </c>
      <c r="D10" s="62" t="s">
        <v>41</v>
      </c>
      <c r="E10" s="56" t="s">
        <v>29</v>
      </c>
      <c r="F10" s="69" t="s">
        <v>16</v>
      </c>
      <c r="G10" s="57"/>
      <c r="H10" s="58">
        <f>I10/I$2</f>
        <v>0.17391304347826086</v>
      </c>
      <c r="I10" s="59">
        <v>4</v>
      </c>
      <c r="J10" s="58">
        <f>K10/K$2</f>
        <v>0.18181818181818182</v>
      </c>
      <c r="K10" s="59">
        <v>4</v>
      </c>
      <c r="L10" s="58">
        <f>M10/M$2</f>
        <v>0</v>
      </c>
      <c r="M10" s="59"/>
      <c r="N10" s="58">
        <f>O10/O$2</f>
        <v>0.13636363636363635</v>
      </c>
      <c r="O10" s="59">
        <v>3</v>
      </c>
      <c r="P10" s="58">
        <f>Q10/Q$2</f>
        <v>0.13636363636363635</v>
      </c>
      <c r="Q10" s="59">
        <v>3</v>
      </c>
      <c r="R10" s="58">
        <f>S10/S$2</f>
        <v>0.14285714285714285</v>
      </c>
      <c r="S10" s="59">
        <v>3</v>
      </c>
      <c r="T10" s="58">
        <f>U10/U$2</f>
        <v>0</v>
      </c>
      <c r="U10" s="59"/>
      <c r="V10" s="58">
        <f>W10/W$2</f>
        <v>0</v>
      </c>
      <c r="W10" s="59"/>
      <c r="X10" s="58">
        <f>Y10/Y$2</f>
        <v>0</v>
      </c>
      <c r="Y10" s="59"/>
      <c r="Z10" s="58">
        <f>AA10/AA$2</f>
        <v>0</v>
      </c>
      <c r="AA10" s="59"/>
      <c r="AB10" s="58">
        <f>AC10/AC$2</f>
        <v>0</v>
      </c>
      <c r="AC10" s="59"/>
      <c r="AD10" s="58">
        <f>AE10/AE$2</f>
        <v>0</v>
      </c>
      <c r="AE10" s="59"/>
      <c r="AF10" s="58">
        <f>AG10/AG$2</f>
        <v>0</v>
      </c>
      <c r="AG10" s="59"/>
      <c r="AH10" s="58">
        <f>AI10/AI$2</f>
        <v>0</v>
      </c>
      <c r="AI10" s="60"/>
    </row>
    <row r="11" spans="1:35" s="53" customFormat="1" ht="25.5" customHeight="1" x14ac:dyDescent="0.2">
      <c r="A11" s="45"/>
      <c r="B11" s="46" t="s">
        <v>13</v>
      </c>
      <c r="C11" s="61" t="s">
        <v>52</v>
      </c>
      <c r="D11" s="62" t="s">
        <v>41</v>
      </c>
      <c r="E11" s="47" t="s">
        <v>30</v>
      </c>
      <c r="F11" s="48" t="s">
        <v>17</v>
      </c>
      <c r="G11" s="49"/>
      <c r="H11" s="50">
        <f t="shared" si="19"/>
        <v>0.2608695652173913</v>
      </c>
      <c r="I11" s="51">
        <v>6</v>
      </c>
      <c r="J11" s="50">
        <f t="shared" si="20"/>
        <v>0.13636363636363635</v>
      </c>
      <c r="K11" s="51">
        <v>3</v>
      </c>
      <c r="L11" s="50">
        <f t="shared" si="21"/>
        <v>0</v>
      </c>
      <c r="M11" s="51"/>
      <c r="N11" s="50">
        <f t="shared" si="22"/>
        <v>0</v>
      </c>
      <c r="O11" s="51"/>
      <c r="P11" s="50">
        <f t="shared" si="23"/>
        <v>0</v>
      </c>
      <c r="Q11" s="51"/>
      <c r="R11" s="50">
        <f t="shared" si="24"/>
        <v>0</v>
      </c>
      <c r="S11" s="51"/>
      <c r="T11" s="50">
        <f t="shared" si="25"/>
        <v>0</v>
      </c>
      <c r="U11" s="51"/>
      <c r="V11" s="50">
        <f t="shared" si="26"/>
        <v>0</v>
      </c>
      <c r="W11" s="51"/>
      <c r="X11" s="50">
        <f t="shared" si="27"/>
        <v>0</v>
      </c>
      <c r="Y11" s="51"/>
      <c r="Z11" s="50">
        <f t="shared" si="28"/>
        <v>0</v>
      </c>
      <c r="AA11" s="51"/>
      <c r="AB11" s="50">
        <f t="shared" si="29"/>
        <v>0</v>
      </c>
      <c r="AC11" s="51"/>
      <c r="AD11" s="50">
        <f t="shared" si="30"/>
        <v>0</v>
      </c>
      <c r="AE11" s="51"/>
      <c r="AF11" s="50">
        <f t="shared" si="31"/>
        <v>0</v>
      </c>
      <c r="AG11" s="51"/>
      <c r="AH11" s="50">
        <f t="shared" si="32"/>
        <v>0</v>
      </c>
      <c r="AI11" s="52"/>
    </row>
    <row r="12" spans="1:35" s="53" customFormat="1" ht="25.5" customHeight="1" x14ac:dyDescent="0.2">
      <c r="A12" s="45"/>
      <c r="B12" s="70" t="s">
        <v>18</v>
      </c>
      <c r="C12" s="70" t="s">
        <v>52</v>
      </c>
      <c r="D12" s="71" t="s">
        <v>41</v>
      </c>
      <c r="E12" s="72" t="s">
        <v>19</v>
      </c>
      <c r="F12" s="73"/>
      <c r="G12" s="49"/>
      <c r="H12" s="74">
        <f t="shared" si="19"/>
        <v>2.1739130434782608E-2</v>
      </c>
      <c r="I12" s="75">
        <v>0.5</v>
      </c>
      <c r="J12" s="74">
        <f t="shared" si="20"/>
        <v>2.2727272727272728E-2</v>
      </c>
      <c r="K12" s="75">
        <v>0.5</v>
      </c>
      <c r="L12" s="74">
        <f t="shared" si="21"/>
        <v>0</v>
      </c>
      <c r="M12" s="75"/>
      <c r="N12" s="74">
        <f t="shared" si="22"/>
        <v>0</v>
      </c>
      <c r="O12" s="75"/>
      <c r="P12" s="74">
        <f t="shared" si="23"/>
        <v>0</v>
      </c>
      <c r="Q12" s="75"/>
      <c r="R12" s="74">
        <f t="shared" si="24"/>
        <v>0</v>
      </c>
      <c r="S12" s="75"/>
      <c r="T12" s="74">
        <f t="shared" si="25"/>
        <v>0</v>
      </c>
      <c r="U12" s="75"/>
      <c r="V12" s="74">
        <f t="shared" si="26"/>
        <v>0</v>
      </c>
      <c r="W12" s="75"/>
      <c r="X12" s="74">
        <f t="shared" si="27"/>
        <v>0</v>
      </c>
      <c r="Y12" s="75"/>
      <c r="Z12" s="74">
        <f t="shared" si="28"/>
        <v>0</v>
      </c>
      <c r="AA12" s="75"/>
      <c r="AB12" s="74">
        <f t="shared" si="29"/>
        <v>0</v>
      </c>
      <c r="AC12" s="75"/>
      <c r="AD12" s="74">
        <f t="shared" si="30"/>
        <v>0</v>
      </c>
      <c r="AE12" s="75"/>
      <c r="AF12" s="74">
        <f t="shared" si="31"/>
        <v>0</v>
      </c>
      <c r="AG12" s="75"/>
      <c r="AH12" s="74">
        <f t="shared" si="32"/>
        <v>0</v>
      </c>
      <c r="AI12" s="76"/>
    </row>
    <row r="13" spans="1:35" s="53" customFormat="1" ht="25.5" customHeight="1" x14ac:dyDescent="0.2">
      <c r="A13" s="45"/>
      <c r="B13" s="70" t="s">
        <v>18</v>
      </c>
      <c r="C13" s="70" t="s">
        <v>52</v>
      </c>
      <c r="D13" s="71" t="s">
        <v>41</v>
      </c>
      <c r="E13" s="72" t="s">
        <v>20</v>
      </c>
      <c r="F13" s="73" t="s">
        <v>21</v>
      </c>
      <c r="G13" s="49"/>
      <c r="H13" s="74">
        <f t="shared" si="19"/>
        <v>0.13043478260869565</v>
      </c>
      <c r="I13" s="75">
        <v>3</v>
      </c>
      <c r="J13" s="74">
        <f t="shared" si="20"/>
        <v>0.13636363636363635</v>
      </c>
      <c r="K13" s="75">
        <v>3</v>
      </c>
      <c r="L13" s="74">
        <f t="shared" si="21"/>
        <v>0.15</v>
      </c>
      <c r="M13" s="75">
        <v>3</v>
      </c>
      <c r="N13" s="74">
        <f t="shared" si="22"/>
        <v>0.13636363636363635</v>
      </c>
      <c r="O13" s="75">
        <v>3</v>
      </c>
      <c r="P13" s="74">
        <f t="shared" si="23"/>
        <v>0.13636363636363635</v>
      </c>
      <c r="Q13" s="75">
        <v>3</v>
      </c>
      <c r="R13" s="74">
        <f t="shared" si="24"/>
        <v>0.14285714285714285</v>
      </c>
      <c r="S13" s="75">
        <v>3</v>
      </c>
      <c r="T13" s="74">
        <f t="shared" si="25"/>
        <v>0.13636363636363635</v>
      </c>
      <c r="U13" s="75">
        <v>3</v>
      </c>
      <c r="V13" s="74">
        <f t="shared" si="26"/>
        <v>0.13043478260869565</v>
      </c>
      <c r="W13" s="75">
        <v>3</v>
      </c>
      <c r="X13" s="74">
        <f t="shared" si="27"/>
        <v>0.14285714285714285</v>
      </c>
      <c r="Y13" s="75">
        <v>3</v>
      </c>
      <c r="Z13" s="74">
        <f t="shared" si="28"/>
        <v>0.13636363636363635</v>
      </c>
      <c r="AA13" s="75">
        <v>3</v>
      </c>
      <c r="AB13" s="74">
        <f t="shared" si="29"/>
        <v>0.13636363636363635</v>
      </c>
      <c r="AC13" s="75">
        <v>3</v>
      </c>
      <c r="AD13" s="74">
        <f t="shared" si="30"/>
        <v>0.14285714285714285</v>
      </c>
      <c r="AE13" s="75">
        <v>3</v>
      </c>
      <c r="AF13" s="74">
        <f t="shared" si="31"/>
        <v>0.13043478260869565</v>
      </c>
      <c r="AG13" s="75">
        <v>3</v>
      </c>
      <c r="AH13" s="74">
        <f t="shared" si="32"/>
        <v>0.14285714285714285</v>
      </c>
      <c r="AI13" s="76">
        <v>3</v>
      </c>
    </row>
    <row r="14" spans="1:35" s="53" customFormat="1" ht="25.5" customHeight="1" x14ac:dyDescent="0.2">
      <c r="A14" s="45"/>
      <c r="B14" s="70" t="s">
        <v>18</v>
      </c>
      <c r="C14" s="70" t="s">
        <v>52</v>
      </c>
      <c r="D14" s="71" t="s">
        <v>41</v>
      </c>
      <c r="E14" s="72" t="s">
        <v>22</v>
      </c>
      <c r="F14" s="73" t="s">
        <v>23</v>
      </c>
      <c r="G14" s="49"/>
      <c r="H14" s="74">
        <f t="shared" si="19"/>
        <v>4.3478260869565216E-2</v>
      </c>
      <c r="I14" s="75">
        <v>1</v>
      </c>
      <c r="J14" s="74">
        <f t="shared" si="20"/>
        <v>4.5454545454545456E-2</v>
      </c>
      <c r="K14" s="75">
        <v>1</v>
      </c>
      <c r="L14" s="74">
        <f t="shared" si="21"/>
        <v>0.05</v>
      </c>
      <c r="M14" s="75">
        <v>1</v>
      </c>
      <c r="N14" s="74">
        <f t="shared" si="22"/>
        <v>4.5454545454545456E-2</v>
      </c>
      <c r="O14" s="75">
        <v>1</v>
      </c>
      <c r="P14" s="74">
        <f t="shared" si="23"/>
        <v>4.5454545454545456E-2</v>
      </c>
      <c r="Q14" s="75">
        <v>1</v>
      </c>
      <c r="R14" s="74">
        <f t="shared" si="24"/>
        <v>4.7619047619047616E-2</v>
      </c>
      <c r="S14" s="75">
        <v>1</v>
      </c>
      <c r="T14" s="74">
        <f t="shared" si="25"/>
        <v>4.5454545454545456E-2</v>
      </c>
      <c r="U14" s="75">
        <v>1</v>
      </c>
      <c r="V14" s="74">
        <f t="shared" si="26"/>
        <v>4.3478260869565216E-2</v>
      </c>
      <c r="W14" s="75">
        <v>1</v>
      </c>
      <c r="X14" s="74">
        <f t="shared" si="27"/>
        <v>4.7619047619047616E-2</v>
      </c>
      <c r="Y14" s="75">
        <v>1</v>
      </c>
      <c r="Z14" s="74">
        <f t="shared" si="28"/>
        <v>4.5454545454545456E-2</v>
      </c>
      <c r="AA14" s="75">
        <v>1</v>
      </c>
      <c r="AB14" s="74">
        <f t="shared" si="29"/>
        <v>4.5454545454545456E-2</v>
      </c>
      <c r="AC14" s="75">
        <v>1</v>
      </c>
      <c r="AD14" s="74">
        <f t="shared" si="30"/>
        <v>4.7619047619047616E-2</v>
      </c>
      <c r="AE14" s="75">
        <v>1</v>
      </c>
      <c r="AF14" s="74">
        <f t="shared" si="31"/>
        <v>4.3478260869565216E-2</v>
      </c>
      <c r="AG14" s="75">
        <v>1</v>
      </c>
      <c r="AH14" s="74">
        <f t="shared" si="32"/>
        <v>4.7619047619047616E-2</v>
      </c>
      <c r="AI14" s="76">
        <v>1</v>
      </c>
    </row>
    <row r="15" spans="1:35" s="53" customFormat="1" ht="25.5" customHeight="1" x14ac:dyDescent="0.2">
      <c r="A15" s="45"/>
      <c r="B15" s="70" t="s">
        <v>24</v>
      </c>
      <c r="C15" s="70" t="s">
        <v>52</v>
      </c>
      <c r="D15" s="71" t="s">
        <v>41</v>
      </c>
      <c r="E15" s="72" t="s">
        <v>25</v>
      </c>
      <c r="F15" s="73"/>
      <c r="G15" s="49"/>
      <c r="H15" s="74">
        <f>I15/I$2</f>
        <v>8.6956521739130432E-2</v>
      </c>
      <c r="I15" s="75">
        <f>I$4</f>
        <v>2</v>
      </c>
      <c r="J15" s="74">
        <f>K15/K$2</f>
        <v>4.5454545454545456E-2</v>
      </c>
      <c r="K15" s="75">
        <f>K$4</f>
        <v>1</v>
      </c>
      <c r="L15" s="74">
        <f>M15/M$2</f>
        <v>0</v>
      </c>
      <c r="M15" s="75">
        <f>M$4</f>
        <v>0</v>
      </c>
      <c r="N15" s="74">
        <f>O15/O$2</f>
        <v>0</v>
      </c>
      <c r="O15" s="75">
        <f>O$4</f>
        <v>0</v>
      </c>
      <c r="P15" s="74">
        <f>Q15/Q$2</f>
        <v>9.0909090909090912E-2</v>
      </c>
      <c r="Q15" s="75">
        <v>2</v>
      </c>
      <c r="R15" s="74">
        <f>S15/S$2</f>
        <v>9.5238095238095233E-2</v>
      </c>
      <c r="S15" s="75">
        <f>S$4</f>
        <v>2</v>
      </c>
      <c r="T15" s="74">
        <f>U15/U$2</f>
        <v>0</v>
      </c>
      <c r="U15" s="75">
        <f>U$4</f>
        <v>0</v>
      </c>
      <c r="V15" s="74">
        <f>W15/W$2</f>
        <v>4.3478260869565216E-2</v>
      </c>
      <c r="W15" s="75">
        <v>1</v>
      </c>
      <c r="X15" s="74">
        <f>Y15/Y$2</f>
        <v>0</v>
      </c>
      <c r="Y15" s="75">
        <f>Y$4</f>
        <v>0</v>
      </c>
      <c r="Z15" s="74">
        <f>AA15/AA$2</f>
        <v>0</v>
      </c>
      <c r="AA15" s="75">
        <f>AA$4</f>
        <v>0</v>
      </c>
      <c r="AB15" s="74">
        <f>AC15/AC$2</f>
        <v>4.5454545454545456E-2</v>
      </c>
      <c r="AC15" s="75">
        <f>AC$4</f>
        <v>1</v>
      </c>
      <c r="AD15" s="74">
        <f>AE15/AE$2</f>
        <v>4.7619047619047616E-2</v>
      </c>
      <c r="AE15" s="75">
        <f>AE$4</f>
        <v>1</v>
      </c>
      <c r="AF15" s="74">
        <f>AG15/AG$2</f>
        <v>0.13043478260869565</v>
      </c>
      <c r="AG15" s="75">
        <f>AG$4</f>
        <v>3</v>
      </c>
      <c r="AH15" s="74">
        <f>AI15/AI$2</f>
        <v>4.7619047619047616E-2</v>
      </c>
      <c r="AI15" s="76">
        <f>AI$4</f>
        <v>1</v>
      </c>
    </row>
    <row r="16" spans="1:35" s="53" customFormat="1" ht="25.5" customHeight="1" x14ac:dyDescent="0.2">
      <c r="A16" s="45"/>
      <c r="B16" s="70" t="s">
        <v>24</v>
      </c>
      <c r="C16" s="70" t="s">
        <v>52</v>
      </c>
      <c r="D16" s="71" t="s">
        <v>41</v>
      </c>
      <c r="E16" s="72" t="s">
        <v>26</v>
      </c>
      <c r="F16" s="73"/>
      <c r="G16" s="49"/>
      <c r="H16" s="74">
        <f t="shared" si="19"/>
        <v>0</v>
      </c>
      <c r="I16" s="75"/>
      <c r="J16" s="74">
        <f t="shared" si="20"/>
        <v>0</v>
      </c>
      <c r="K16" s="75"/>
      <c r="L16" s="74">
        <f t="shared" si="21"/>
        <v>0</v>
      </c>
      <c r="M16" s="75"/>
      <c r="N16" s="74">
        <f t="shared" si="22"/>
        <v>0</v>
      </c>
      <c r="O16" s="75"/>
      <c r="P16" s="74">
        <f t="shared" si="23"/>
        <v>0</v>
      </c>
      <c r="Q16" s="75"/>
      <c r="R16" s="74">
        <f t="shared" si="24"/>
        <v>0.47619047619047616</v>
      </c>
      <c r="S16" s="75">
        <v>10</v>
      </c>
      <c r="T16" s="74">
        <f t="shared" si="25"/>
        <v>1</v>
      </c>
      <c r="U16" s="75">
        <v>22</v>
      </c>
      <c r="V16" s="74">
        <f t="shared" si="26"/>
        <v>0.52173913043478259</v>
      </c>
      <c r="W16" s="75">
        <v>12</v>
      </c>
      <c r="X16" s="74">
        <f t="shared" si="27"/>
        <v>4.7619047619047616E-2</v>
      </c>
      <c r="Y16" s="75">
        <v>1</v>
      </c>
      <c r="Z16" s="74">
        <f t="shared" si="28"/>
        <v>0</v>
      </c>
      <c r="AA16" s="75"/>
      <c r="AB16" s="74">
        <f t="shared" si="29"/>
        <v>0.45454545454545453</v>
      </c>
      <c r="AC16" s="75">
        <v>10</v>
      </c>
      <c r="AD16" s="74">
        <f t="shared" si="30"/>
        <v>0</v>
      </c>
      <c r="AE16" s="75"/>
      <c r="AF16" s="74">
        <f t="shared" si="31"/>
        <v>0</v>
      </c>
      <c r="AG16" s="75"/>
      <c r="AH16" s="74">
        <f t="shared" si="32"/>
        <v>0</v>
      </c>
      <c r="AI16" s="76"/>
    </row>
    <row r="17" spans="1:35" s="85" customFormat="1" ht="38.25" thickBot="1" x14ac:dyDescent="0.25">
      <c r="A17" s="77"/>
      <c r="B17" s="78"/>
      <c r="C17" s="78" t="s">
        <v>52</v>
      </c>
      <c r="D17" s="78" t="s">
        <v>41</v>
      </c>
      <c r="E17" s="79" t="str">
        <f>COUNTIF(B8:B16,"Project (Active)")+COUNTIF(B8:B16,"E&amp;C")&amp;" Projects"</f>
        <v>4 Projects</v>
      </c>
      <c r="F17" s="80"/>
      <c r="G17" s="81"/>
      <c r="H17" s="82">
        <f>1-SUM(H8:H16)</f>
        <v>-0.10869565217391286</v>
      </c>
      <c r="I17" s="83"/>
      <c r="J17" s="82">
        <f>1-SUM(J8:J16)</f>
        <v>0.11363636363636376</v>
      </c>
      <c r="K17" s="83"/>
      <c r="L17" s="82">
        <f>1-SUM(L8:L16)</f>
        <v>0.55000000000000004</v>
      </c>
      <c r="M17" s="83"/>
      <c r="N17" s="82">
        <f>1-SUM(N8:N16)</f>
        <v>0.54545454545454541</v>
      </c>
      <c r="O17" s="83"/>
      <c r="P17" s="82">
        <f>1-SUM(P8:P16)</f>
        <v>0.45454545454545459</v>
      </c>
      <c r="Q17" s="83"/>
      <c r="R17" s="82">
        <f>1-SUM(R8:R16)</f>
        <v>9.5238095238095344E-2</v>
      </c>
      <c r="S17" s="83"/>
      <c r="T17" s="82">
        <f>1-SUM(T8:T16)</f>
        <v>-0.18181818181818188</v>
      </c>
      <c r="U17" s="83"/>
      <c r="V17" s="82">
        <f>1-SUM(V8:V16)</f>
        <v>0.26086956521739135</v>
      </c>
      <c r="W17" s="83"/>
      <c r="X17" s="82">
        <f>1-SUM(X8:X16)</f>
        <v>0.76190476190476186</v>
      </c>
      <c r="Y17" s="83"/>
      <c r="Z17" s="82">
        <f>1-SUM(Z8:Z16)</f>
        <v>0.81818181818181812</v>
      </c>
      <c r="AA17" s="83"/>
      <c r="AB17" s="82">
        <f>1-SUM(AB8:AB16)</f>
        <v>0.31818181818181812</v>
      </c>
      <c r="AC17" s="83"/>
      <c r="AD17" s="82">
        <f>1-SUM(AD8:AD16)</f>
        <v>0.76190476190476186</v>
      </c>
      <c r="AE17" s="83"/>
      <c r="AF17" s="82">
        <f>1-SUM(AF8:AF16)</f>
        <v>0.69565217391304346</v>
      </c>
      <c r="AG17" s="83"/>
      <c r="AH17" s="82">
        <f>1-SUM(AH8:AH16)</f>
        <v>0.76190476190476186</v>
      </c>
      <c r="AI17" s="84"/>
    </row>
    <row r="18" spans="1:35" s="53" customFormat="1" ht="47.45" customHeight="1" thickTop="1" x14ac:dyDescent="0.2">
      <c r="A18" s="45"/>
      <c r="B18" s="61" t="s">
        <v>13</v>
      </c>
      <c r="C18" s="61" t="s">
        <v>52</v>
      </c>
      <c r="D18" s="62" t="s">
        <v>40</v>
      </c>
      <c r="E18" s="63" t="s">
        <v>43</v>
      </c>
      <c r="F18" s="64" t="s">
        <v>31</v>
      </c>
      <c r="G18" s="65"/>
      <c r="H18" s="66">
        <f t="shared" ref="H18:H32" si="33">I18/I$2</f>
        <v>8.6956521739130432E-2</v>
      </c>
      <c r="I18" s="67">
        <v>2</v>
      </c>
      <c r="J18" s="66">
        <f t="shared" ref="J18:J32" si="34">K18/K$2</f>
        <v>0.13636363636363635</v>
      </c>
      <c r="K18" s="67">
        <v>3</v>
      </c>
      <c r="L18" s="66">
        <f t="shared" ref="L18:L32" si="35">M18/M$2</f>
        <v>0.1</v>
      </c>
      <c r="M18" s="67">
        <v>2</v>
      </c>
      <c r="N18" s="66">
        <f t="shared" ref="N18:N32" si="36">O18/O$2</f>
        <v>9.0909090909090912E-2</v>
      </c>
      <c r="O18" s="67">
        <v>2</v>
      </c>
      <c r="P18" s="66">
        <f t="shared" ref="P18:P32" si="37">Q18/Q$2</f>
        <v>0</v>
      </c>
      <c r="Q18" s="67"/>
      <c r="R18" s="66">
        <f t="shared" ref="R18:R32" si="38">S18/S$2</f>
        <v>0</v>
      </c>
      <c r="S18" s="67"/>
      <c r="T18" s="66">
        <f t="shared" ref="T18:T32" si="39">U18/U$2</f>
        <v>0</v>
      </c>
      <c r="U18" s="67"/>
      <c r="V18" s="66">
        <f t="shared" ref="V18:V32" si="40">W18/W$2</f>
        <v>0</v>
      </c>
      <c r="W18" s="67"/>
      <c r="X18" s="66">
        <f t="shared" ref="X18:X32" si="41">Y18/Y$2</f>
        <v>0</v>
      </c>
      <c r="Y18" s="67"/>
      <c r="Z18" s="66">
        <f t="shared" ref="Z18:Z32" si="42">AA18/AA$2</f>
        <v>0</v>
      </c>
      <c r="AA18" s="67"/>
      <c r="AB18" s="66">
        <f t="shared" ref="AB18:AB32" si="43">AC18/AC$2</f>
        <v>0</v>
      </c>
      <c r="AC18" s="67"/>
      <c r="AD18" s="66">
        <f t="shared" ref="AD18:AD32" si="44">AE18/AE$2</f>
        <v>0</v>
      </c>
      <c r="AE18" s="67"/>
      <c r="AF18" s="66">
        <f t="shared" ref="AF18:AF32" si="45">AG18/AG$2</f>
        <v>0</v>
      </c>
      <c r="AG18" s="67"/>
      <c r="AH18" s="66">
        <f t="shared" ref="AH18:AH32" si="46">AI18/AI$2</f>
        <v>0</v>
      </c>
      <c r="AI18" s="68"/>
    </row>
    <row r="19" spans="1:35" s="53" customFormat="1" ht="37.5" x14ac:dyDescent="0.2">
      <c r="A19" s="45"/>
      <c r="B19" s="46" t="s">
        <v>13</v>
      </c>
      <c r="C19" s="46" t="s">
        <v>52</v>
      </c>
      <c r="D19" s="87" t="s">
        <v>40</v>
      </c>
      <c r="E19" s="47" t="s">
        <v>44</v>
      </c>
      <c r="F19" s="48" t="s">
        <v>32</v>
      </c>
      <c r="G19" s="49"/>
      <c r="H19" s="50">
        <f t="shared" si="33"/>
        <v>2.1739130434782608E-2</v>
      </c>
      <c r="I19" s="51">
        <v>0.5</v>
      </c>
      <c r="J19" s="50">
        <f t="shared" si="34"/>
        <v>0</v>
      </c>
      <c r="K19" s="51"/>
      <c r="L19" s="50">
        <f t="shared" si="35"/>
        <v>0</v>
      </c>
      <c r="M19" s="51"/>
      <c r="N19" s="50">
        <f t="shared" si="36"/>
        <v>0</v>
      </c>
      <c r="O19" s="51"/>
      <c r="P19" s="50">
        <f t="shared" si="37"/>
        <v>0</v>
      </c>
      <c r="Q19" s="51"/>
      <c r="R19" s="50">
        <f t="shared" si="38"/>
        <v>0</v>
      </c>
      <c r="S19" s="51"/>
      <c r="T19" s="50">
        <f t="shared" si="39"/>
        <v>0</v>
      </c>
      <c r="U19" s="51"/>
      <c r="V19" s="50">
        <f t="shared" si="40"/>
        <v>0</v>
      </c>
      <c r="W19" s="51"/>
      <c r="X19" s="50">
        <f t="shared" si="41"/>
        <v>0</v>
      </c>
      <c r="Y19" s="51"/>
      <c r="Z19" s="50">
        <f t="shared" si="42"/>
        <v>0</v>
      </c>
      <c r="AA19" s="51"/>
      <c r="AB19" s="50">
        <f t="shared" si="43"/>
        <v>0</v>
      </c>
      <c r="AC19" s="51"/>
      <c r="AD19" s="50">
        <f t="shared" si="44"/>
        <v>0</v>
      </c>
      <c r="AE19" s="51"/>
      <c r="AF19" s="50">
        <f t="shared" si="45"/>
        <v>0</v>
      </c>
      <c r="AG19" s="51"/>
      <c r="AH19" s="50">
        <f t="shared" si="46"/>
        <v>0</v>
      </c>
      <c r="AI19" s="52"/>
    </row>
    <row r="20" spans="1:35" s="53" customFormat="1" ht="37.5" x14ac:dyDescent="0.2">
      <c r="A20" s="54"/>
      <c r="B20" s="55" t="s">
        <v>13</v>
      </c>
      <c r="C20" s="55" t="s">
        <v>52</v>
      </c>
      <c r="D20" s="88" t="s">
        <v>40</v>
      </c>
      <c r="E20" s="56" t="s">
        <v>45</v>
      </c>
      <c r="F20" s="89" t="s">
        <v>33</v>
      </c>
      <c r="G20" s="57"/>
      <c r="H20" s="58">
        <f>I20/I$2</f>
        <v>2.1739130434782608E-2</v>
      </c>
      <c r="I20" s="59">
        <v>0.5</v>
      </c>
      <c r="J20" s="58">
        <f>K20/K$2</f>
        <v>0</v>
      </c>
      <c r="K20" s="59"/>
      <c r="L20" s="58">
        <f>M20/M$2</f>
        <v>0.2</v>
      </c>
      <c r="M20" s="59">
        <v>4</v>
      </c>
      <c r="N20" s="58">
        <f>O20/O$2</f>
        <v>0.18181818181818182</v>
      </c>
      <c r="O20" s="59">
        <v>4</v>
      </c>
      <c r="P20" s="58">
        <f>Q20/Q$2</f>
        <v>0.18181818181818182</v>
      </c>
      <c r="Q20" s="59">
        <v>4</v>
      </c>
      <c r="R20" s="58">
        <f>S20/S$2</f>
        <v>0.19047619047619047</v>
      </c>
      <c r="S20" s="59">
        <v>4</v>
      </c>
      <c r="T20" s="58">
        <f>U20/U$2</f>
        <v>0.18181818181818182</v>
      </c>
      <c r="U20" s="59">
        <v>4</v>
      </c>
      <c r="V20" s="58">
        <f>W20/W$2</f>
        <v>0</v>
      </c>
      <c r="W20" s="59"/>
      <c r="X20" s="58">
        <f>Y20/Y$2</f>
        <v>0</v>
      </c>
      <c r="Y20" s="59"/>
      <c r="Z20" s="58">
        <f>AA20/AA$2</f>
        <v>0</v>
      </c>
      <c r="AA20" s="59"/>
      <c r="AB20" s="58">
        <f>AC20/AC$2</f>
        <v>0</v>
      </c>
      <c r="AC20" s="59"/>
      <c r="AD20" s="58">
        <f>AE20/AE$2</f>
        <v>0</v>
      </c>
      <c r="AE20" s="59"/>
      <c r="AF20" s="58">
        <f>AG20/AG$2</f>
        <v>0</v>
      </c>
      <c r="AG20" s="59"/>
      <c r="AH20" s="58">
        <f>AI20/AI$2</f>
        <v>0</v>
      </c>
      <c r="AI20" s="60"/>
    </row>
    <row r="21" spans="1:35" s="53" customFormat="1" ht="25.5" customHeight="1" x14ac:dyDescent="0.2">
      <c r="A21" s="45"/>
      <c r="B21" s="46" t="s">
        <v>13</v>
      </c>
      <c r="C21" s="46" t="s">
        <v>52</v>
      </c>
      <c r="D21" s="87" t="s">
        <v>40</v>
      </c>
      <c r="E21" s="47" t="s">
        <v>46</v>
      </c>
      <c r="F21" s="48" t="s">
        <v>32</v>
      </c>
      <c r="G21" s="49" t="s">
        <v>34</v>
      </c>
      <c r="H21" s="50">
        <f t="shared" si="33"/>
        <v>8.6956521739130432E-2</v>
      </c>
      <c r="I21" s="51">
        <v>2</v>
      </c>
      <c r="J21" s="50">
        <f t="shared" si="34"/>
        <v>2.2727272727272728E-2</v>
      </c>
      <c r="K21" s="51">
        <v>0.5</v>
      </c>
      <c r="L21" s="50">
        <f t="shared" si="35"/>
        <v>0.1</v>
      </c>
      <c r="M21" s="51">
        <v>2</v>
      </c>
      <c r="N21" s="50">
        <f t="shared" si="36"/>
        <v>9.0909090909090912E-2</v>
      </c>
      <c r="O21" s="51">
        <v>2</v>
      </c>
      <c r="P21" s="50">
        <f t="shared" si="37"/>
        <v>0</v>
      </c>
      <c r="Q21" s="51"/>
      <c r="R21" s="50">
        <f t="shared" si="38"/>
        <v>0</v>
      </c>
      <c r="S21" s="51"/>
      <c r="T21" s="50">
        <f t="shared" si="39"/>
        <v>0</v>
      </c>
      <c r="U21" s="51"/>
      <c r="V21" s="50">
        <f t="shared" si="40"/>
        <v>0</v>
      </c>
      <c r="W21" s="51"/>
      <c r="X21" s="50">
        <f t="shared" si="41"/>
        <v>0</v>
      </c>
      <c r="Y21" s="51"/>
      <c r="Z21" s="50">
        <f t="shared" si="42"/>
        <v>0</v>
      </c>
      <c r="AA21" s="51"/>
      <c r="AB21" s="50">
        <f t="shared" si="43"/>
        <v>0</v>
      </c>
      <c r="AC21" s="51"/>
      <c r="AD21" s="50">
        <f t="shared" si="44"/>
        <v>0</v>
      </c>
      <c r="AE21" s="51"/>
      <c r="AF21" s="50">
        <f t="shared" si="45"/>
        <v>0</v>
      </c>
      <c r="AG21" s="51"/>
      <c r="AH21" s="50">
        <f t="shared" si="46"/>
        <v>0</v>
      </c>
      <c r="AI21" s="52"/>
    </row>
    <row r="22" spans="1:35" s="53" customFormat="1" ht="25.5" customHeight="1" x14ac:dyDescent="0.2">
      <c r="A22" s="45"/>
      <c r="B22" s="46" t="s">
        <v>13</v>
      </c>
      <c r="C22" s="46" t="s">
        <v>52</v>
      </c>
      <c r="D22" s="87" t="s">
        <v>40</v>
      </c>
      <c r="E22" s="47" t="s">
        <v>47</v>
      </c>
      <c r="F22" s="48" t="s">
        <v>32</v>
      </c>
      <c r="G22" s="49"/>
      <c r="H22" s="50">
        <f t="shared" si="33"/>
        <v>2.1739130434782608E-2</v>
      </c>
      <c r="I22" s="51">
        <v>0.5</v>
      </c>
      <c r="J22" s="50">
        <f t="shared" si="34"/>
        <v>0</v>
      </c>
      <c r="K22" s="51"/>
      <c r="L22" s="50">
        <f t="shared" si="35"/>
        <v>0</v>
      </c>
      <c r="M22" s="51"/>
      <c r="N22" s="50">
        <f t="shared" si="36"/>
        <v>0</v>
      </c>
      <c r="O22" s="51"/>
      <c r="P22" s="50">
        <f t="shared" si="37"/>
        <v>0</v>
      </c>
      <c r="Q22" s="51"/>
      <c r="R22" s="50">
        <f t="shared" si="38"/>
        <v>0</v>
      </c>
      <c r="S22" s="51"/>
      <c r="T22" s="50">
        <f t="shared" si="39"/>
        <v>0</v>
      </c>
      <c r="U22" s="51"/>
      <c r="V22" s="50">
        <f t="shared" si="40"/>
        <v>0</v>
      </c>
      <c r="W22" s="51"/>
      <c r="X22" s="50">
        <f t="shared" si="41"/>
        <v>0</v>
      </c>
      <c r="Y22" s="51"/>
      <c r="Z22" s="50">
        <f t="shared" si="42"/>
        <v>0</v>
      </c>
      <c r="AA22" s="51"/>
      <c r="AB22" s="50">
        <f t="shared" si="43"/>
        <v>0</v>
      </c>
      <c r="AC22" s="51"/>
      <c r="AD22" s="50">
        <f t="shared" si="44"/>
        <v>0</v>
      </c>
      <c r="AE22" s="51"/>
      <c r="AF22" s="50">
        <f t="shared" si="45"/>
        <v>0</v>
      </c>
      <c r="AG22" s="51"/>
      <c r="AH22" s="50">
        <f t="shared" si="46"/>
        <v>0</v>
      </c>
      <c r="AI22" s="52"/>
    </row>
    <row r="23" spans="1:35" s="53" customFormat="1" ht="25.5" customHeight="1" x14ac:dyDescent="0.2">
      <c r="A23" s="45"/>
      <c r="B23" s="46" t="s">
        <v>13</v>
      </c>
      <c r="C23" s="46" t="s">
        <v>52</v>
      </c>
      <c r="D23" s="87" t="s">
        <v>40</v>
      </c>
      <c r="E23" s="47" t="s">
        <v>48</v>
      </c>
      <c r="F23" s="48" t="s">
        <v>35</v>
      </c>
      <c r="G23" s="49"/>
      <c r="H23" s="50">
        <f t="shared" si="33"/>
        <v>2.1739130434782608E-2</v>
      </c>
      <c r="I23" s="51">
        <v>0.5</v>
      </c>
      <c r="J23" s="50">
        <f t="shared" si="34"/>
        <v>9.0909090909090922E-3</v>
      </c>
      <c r="K23" s="51">
        <v>0.2</v>
      </c>
      <c r="L23" s="50">
        <f t="shared" si="35"/>
        <v>0</v>
      </c>
      <c r="M23" s="51"/>
      <c r="N23" s="50">
        <f t="shared" si="36"/>
        <v>0</v>
      </c>
      <c r="O23" s="51"/>
      <c r="P23" s="50">
        <f t="shared" si="37"/>
        <v>0</v>
      </c>
      <c r="Q23" s="51"/>
      <c r="R23" s="50">
        <f t="shared" si="38"/>
        <v>0</v>
      </c>
      <c r="S23" s="51"/>
      <c r="T23" s="50">
        <f t="shared" si="39"/>
        <v>0</v>
      </c>
      <c r="U23" s="51"/>
      <c r="V23" s="50">
        <f t="shared" si="40"/>
        <v>0</v>
      </c>
      <c r="W23" s="51"/>
      <c r="X23" s="50">
        <f t="shared" si="41"/>
        <v>0</v>
      </c>
      <c r="Y23" s="51"/>
      <c r="Z23" s="50">
        <f t="shared" si="42"/>
        <v>0</v>
      </c>
      <c r="AA23" s="51"/>
      <c r="AB23" s="50">
        <f t="shared" si="43"/>
        <v>0</v>
      </c>
      <c r="AC23" s="51"/>
      <c r="AD23" s="50">
        <f t="shared" si="44"/>
        <v>0</v>
      </c>
      <c r="AE23" s="51"/>
      <c r="AF23" s="50">
        <f t="shared" si="45"/>
        <v>0</v>
      </c>
      <c r="AG23" s="51"/>
      <c r="AH23" s="50">
        <f t="shared" si="46"/>
        <v>0</v>
      </c>
      <c r="AI23" s="52"/>
    </row>
    <row r="24" spans="1:35" s="53" customFormat="1" ht="25.5" customHeight="1" x14ac:dyDescent="0.2">
      <c r="A24" s="45"/>
      <c r="B24" s="46" t="s">
        <v>13</v>
      </c>
      <c r="C24" s="46" t="s">
        <v>52</v>
      </c>
      <c r="D24" s="87" t="s">
        <v>40</v>
      </c>
      <c r="E24" s="47" t="s">
        <v>49</v>
      </c>
      <c r="F24" s="48" t="s">
        <v>32</v>
      </c>
      <c r="G24" s="49"/>
      <c r="H24" s="50">
        <f t="shared" si="33"/>
        <v>4.3478260869565216E-2</v>
      </c>
      <c r="I24" s="51">
        <v>1</v>
      </c>
      <c r="J24" s="50">
        <f t="shared" si="34"/>
        <v>2.2727272727272728E-2</v>
      </c>
      <c r="K24" s="51">
        <v>0.5</v>
      </c>
      <c r="L24" s="50">
        <f t="shared" si="35"/>
        <v>0</v>
      </c>
      <c r="M24" s="51"/>
      <c r="N24" s="50">
        <f t="shared" si="36"/>
        <v>0</v>
      </c>
      <c r="O24" s="51"/>
      <c r="P24" s="50">
        <f t="shared" si="37"/>
        <v>0</v>
      </c>
      <c r="Q24" s="51"/>
      <c r="R24" s="50">
        <f t="shared" si="38"/>
        <v>0</v>
      </c>
      <c r="S24" s="51"/>
      <c r="T24" s="50">
        <f t="shared" si="39"/>
        <v>0</v>
      </c>
      <c r="U24" s="51"/>
      <c r="V24" s="50">
        <f t="shared" si="40"/>
        <v>0</v>
      </c>
      <c r="W24" s="51"/>
      <c r="X24" s="50">
        <f t="shared" si="41"/>
        <v>0</v>
      </c>
      <c r="Y24" s="51"/>
      <c r="Z24" s="50">
        <f t="shared" si="42"/>
        <v>0</v>
      </c>
      <c r="AA24" s="51"/>
      <c r="AB24" s="50">
        <f t="shared" si="43"/>
        <v>0</v>
      </c>
      <c r="AC24" s="51"/>
      <c r="AD24" s="50">
        <f t="shared" si="44"/>
        <v>0</v>
      </c>
      <c r="AE24" s="51"/>
      <c r="AF24" s="50">
        <f t="shared" si="45"/>
        <v>0</v>
      </c>
      <c r="AG24" s="51"/>
      <c r="AH24" s="50">
        <f t="shared" si="46"/>
        <v>0</v>
      </c>
      <c r="AI24" s="52"/>
    </row>
    <row r="25" spans="1:35" s="53" customFormat="1" ht="25.5" customHeight="1" x14ac:dyDescent="0.2">
      <c r="A25" s="45" t="s">
        <v>36</v>
      </c>
      <c r="B25" s="46" t="s">
        <v>13</v>
      </c>
      <c r="C25" s="46" t="s">
        <v>52</v>
      </c>
      <c r="D25" s="87" t="s">
        <v>40</v>
      </c>
      <c r="E25" s="47" t="s">
        <v>50</v>
      </c>
      <c r="F25" s="48" t="s">
        <v>32</v>
      </c>
      <c r="G25" s="49"/>
      <c r="H25" s="50">
        <f>I25/I$2</f>
        <v>0</v>
      </c>
      <c r="I25" s="51"/>
      <c r="J25" s="50">
        <f>K25/K$2</f>
        <v>1.3636363636363636E-2</v>
      </c>
      <c r="K25" s="51">
        <v>0.3</v>
      </c>
      <c r="L25" s="50">
        <f>M25/M$2</f>
        <v>0</v>
      </c>
      <c r="M25" s="51"/>
      <c r="N25" s="50">
        <f>O25/O$2</f>
        <v>0</v>
      </c>
      <c r="O25" s="51"/>
      <c r="P25" s="50">
        <f>Q25/Q$2</f>
        <v>0</v>
      </c>
      <c r="Q25" s="51"/>
      <c r="R25" s="50">
        <f>S25/S$2</f>
        <v>0</v>
      </c>
      <c r="S25" s="51"/>
      <c r="T25" s="50">
        <f>U25/U$2</f>
        <v>0</v>
      </c>
      <c r="U25" s="51"/>
      <c r="V25" s="50">
        <f>W25/W$2</f>
        <v>0</v>
      </c>
      <c r="W25" s="51"/>
      <c r="X25" s="50">
        <f>Y25/Y$2</f>
        <v>0</v>
      </c>
      <c r="Y25" s="51"/>
      <c r="Z25" s="50">
        <f>AA25/AA$2</f>
        <v>0</v>
      </c>
      <c r="AA25" s="51"/>
      <c r="AB25" s="50">
        <f>AC25/AC$2</f>
        <v>0</v>
      </c>
      <c r="AC25" s="51"/>
      <c r="AD25" s="50">
        <f>AE25/AE$2</f>
        <v>0</v>
      </c>
      <c r="AE25" s="51"/>
      <c r="AF25" s="50">
        <f>AG25/AG$2</f>
        <v>0</v>
      </c>
      <c r="AG25" s="51"/>
      <c r="AH25" s="50">
        <f>AI25/AI$2</f>
        <v>0</v>
      </c>
      <c r="AI25" s="52"/>
    </row>
    <row r="26" spans="1:35" s="53" customFormat="1" ht="25.5" customHeight="1" x14ac:dyDescent="0.2">
      <c r="A26" s="45" t="s">
        <v>36</v>
      </c>
      <c r="B26" s="46" t="s">
        <v>13</v>
      </c>
      <c r="C26" s="46" t="s">
        <v>52</v>
      </c>
      <c r="D26" s="87" t="s">
        <v>40</v>
      </c>
      <c r="E26" s="47" t="s">
        <v>51</v>
      </c>
      <c r="F26" s="48" t="s">
        <v>37</v>
      </c>
      <c r="G26" s="49"/>
      <c r="H26" s="50">
        <f>I26/I$2</f>
        <v>0</v>
      </c>
      <c r="I26" s="51"/>
      <c r="J26" s="50">
        <f>K26/K$2</f>
        <v>0</v>
      </c>
      <c r="K26" s="51"/>
      <c r="L26" s="50">
        <f>M26/M$2</f>
        <v>7.4999999999999997E-2</v>
      </c>
      <c r="M26" s="51">
        <v>1.5</v>
      </c>
      <c r="N26" s="50">
        <f>O26/O$2</f>
        <v>0.18181818181818182</v>
      </c>
      <c r="O26" s="51">
        <v>4</v>
      </c>
      <c r="P26" s="50">
        <f>Q26/Q$2</f>
        <v>0.18181818181818182</v>
      </c>
      <c r="Q26" s="51">
        <v>4</v>
      </c>
      <c r="R26" s="50">
        <f>S26/S$2</f>
        <v>0.19047619047619047</v>
      </c>
      <c r="S26" s="51">
        <v>4</v>
      </c>
      <c r="T26" s="50">
        <f>U26/U$2</f>
        <v>0</v>
      </c>
      <c r="U26" s="51"/>
      <c r="V26" s="50">
        <f>W26/W$2</f>
        <v>0</v>
      </c>
      <c r="W26" s="51"/>
      <c r="X26" s="50">
        <f>Y26/Y$2</f>
        <v>0</v>
      </c>
      <c r="Y26" s="51"/>
      <c r="Z26" s="50">
        <f>AA26/AA$2</f>
        <v>0</v>
      </c>
      <c r="AA26" s="51"/>
      <c r="AB26" s="50">
        <f>AC26/AC$2</f>
        <v>0</v>
      </c>
      <c r="AC26" s="51"/>
      <c r="AD26" s="50">
        <f>AE26/AE$2</f>
        <v>0</v>
      </c>
      <c r="AE26" s="51"/>
      <c r="AF26" s="50">
        <f>AG26/AG$2</f>
        <v>0</v>
      </c>
      <c r="AG26" s="51"/>
      <c r="AH26" s="50">
        <f>AI26/AI$2</f>
        <v>0</v>
      </c>
      <c r="AI26" s="52"/>
    </row>
    <row r="27" spans="1:35" s="53" customFormat="1" ht="33.6" customHeight="1" x14ac:dyDescent="0.2">
      <c r="A27" s="45"/>
      <c r="B27" s="46" t="s">
        <v>38</v>
      </c>
      <c r="C27" s="46" t="s">
        <v>52</v>
      </c>
      <c r="D27" s="87" t="s">
        <v>40</v>
      </c>
      <c r="E27" s="47" t="s">
        <v>42</v>
      </c>
      <c r="F27" s="48" t="s">
        <v>39</v>
      </c>
      <c r="G27" s="49"/>
      <c r="H27" s="50">
        <f t="shared" si="33"/>
        <v>0.21739130434782608</v>
      </c>
      <c r="I27" s="51">
        <v>5</v>
      </c>
      <c r="J27" s="50">
        <f t="shared" si="34"/>
        <v>0.22727272727272727</v>
      </c>
      <c r="K27" s="51">
        <v>5</v>
      </c>
      <c r="L27" s="50">
        <f t="shared" si="35"/>
        <v>0.25</v>
      </c>
      <c r="M27" s="51">
        <v>5</v>
      </c>
      <c r="N27" s="50">
        <f t="shared" si="36"/>
        <v>0.18181818181818182</v>
      </c>
      <c r="O27" s="51">
        <v>4</v>
      </c>
      <c r="P27" s="50">
        <f t="shared" si="37"/>
        <v>0.18181818181818182</v>
      </c>
      <c r="Q27" s="51">
        <v>4</v>
      </c>
      <c r="R27" s="50">
        <f t="shared" si="38"/>
        <v>0.19047619047619047</v>
      </c>
      <c r="S27" s="51">
        <v>4</v>
      </c>
      <c r="T27" s="50">
        <f t="shared" si="39"/>
        <v>0.18181818181818182</v>
      </c>
      <c r="U27" s="51">
        <v>4</v>
      </c>
      <c r="V27" s="50">
        <f t="shared" si="40"/>
        <v>0.17391304347826086</v>
      </c>
      <c r="W27" s="51">
        <v>4</v>
      </c>
      <c r="X27" s="50">
        <f t="shared" si="41"/>
        <v>0.19047619047619047</v>
      </c>
      <c r="Y27" s="51">
        <v>4</v>
      </c>
      <c r="Z27" s="50">
        <f t="shared" si="42"/>
        <v>0.18181818181818182</v>
      </c>
      <c r="AA27" s="51">
        <v>4</v>
      </c>
      <c r="AB27" s="50">
        <f t="shared" si="43"/>
        <v>0.18181818181818182</v>
      </c>
      <c r="AC27" s="51">
        <v>4</v>
      </c>
      <c r="AD27" s="50">
        <f t="shared" si="44"/>
        <v>0.19047619047619047</v>
      </c>
      <c r="AE27" s="51">
        <v>4</v>
      </c>
      <c r="AF27" s="50">
        <f t="shared" si="45"/>
        <v>0.17391304347826086</v>
      </c>
      <c r="AG27" s="51">
        <v>4</v>
      </c>
      <c r="AH27" s="50">
        <f t="shared" si="46"/>
        <v>0.19047619047619047</v>
      </c>
      <c r="AI27" s="52">
        <v>4</v>
      </c>
    </row>
    <row r="28" spans="1:35" s="53" customFormat="1" ht="25.5" customHeight="1" x14ac:dyDescent="0.2">
      <c r="A28" s="45"/>
      <c r="B28" s="70" t="s">
        <v>18</v>
      </c>
      <c r="C28" s="70" t="s">
        <v>52</v>
      </c>
      <c r="D28" s="71" t="s">
        <v>40</v>
      </c>
      <c r="E28" s="72" t="s">
        <v>19</v>
      </c>
      <c r="F28" s="73"/>
      <c r="G28" s="49"/>
      <c r="H28" s="74">
        <f t="shared" si="33"/>
        <v>2.1739130434782608E-2</v>
      </c>
      <c r="I28" s="75">
        <v>0.5</v>
      </c>
      <c r="J28" s="74">
        <f t="shared" si="34"/>
        <v>2.2727272727272728E-2</v>
      </c>
      <c r="K28" s="75">
        <v>0.5</v>
      </c>
      <c r="L28" s="74">
        <f t="shared" si="35"/>
        <v>2.5000000000000001E-2</v>
      </c>
      <c r="M28" s="75">
        <v>0.5</v>
      </c>
      <c r="N28" s="74">
        <f t="shared" si="36"/>
        <v>2.2727272727272728E-2</v>
      </c>
      <c r="O28" s="75">
        <v>0.5</v>
      </c>
      <c r="P28" s="74">
        <f t="shared" si="37"/>
        <v>2.2727272727272728E-2</v>
      </c>
      <c r="Q28" s="75">
        <v>0.5</v>
      </c>
      <c r="R28" s="74">
        <f t="shared" si="38"/>
        <v>2.3809523809523808E-2</v>
      </c>
      <c r="S28" s="75">
        <v>0.5</v>
      </c>
      <c r="T28" s="74">
        <f t="shared" si="39"/>
        <v>2.2727272727272728E-2</v>
      </c>
      <c r="U28" s="75">
        <v>0.5</v>
      </c>
      <c r="V28" s="74">
        <f t="shared" si="40"/>
        <v>2.1739130434782608E-2</v>
      </c>
      <c r="W28" s="75">
        <v>0.5</v>
      </c>
      <c r="X28" s="74">
        <f t="shared" si="41"/>
        <v>2.3809523809523808E-2</v>
      </c>
      <c r="Y28" s="75">
        <v>0.5</v>
      </c>
      <c r="Z28" s="74">
        <f t="shared" si="42"/>
        <v>2.2727272727272728E-2</v>
      </c>
      <c r="AA28" s="75">
        <v>0.5</v>
      </c>
      <c r="AB28" s="74">
        <f t="shared" si="43"/>
        <v>2.2727272727272728E-2</v>
      </c>
      <c r="AC28" s="75">
        <v>0.5</v>
      </c>
      <c r="AD28" s="74">
        <f t="shared" si="44"/>
        <v>2.3809523809523808E-2</v>
      </c>
      <c r="AE28" s="75">
        <v>0.5</v>
      </c>
      <c r="AF28" s="74">
        <f t="shared" si="45"/>
        <v>2.1739130434782608E-2</v>
      </c>
      <c r="AG28" s="75">
        <v>0.5</v>
      </c>
      <c r="AH28" s="74">
        <f t="shared" si="46"/>
        <v>2.3809523809523808E-2</v>
      </c>
      <c r="AI28" s="76">
        <v>0.5</v>
      </c>
    </row>
    <row r="29" spans="1:35" s="53" customFormat="1" ht="25.5" customHeight="1" x14ac:dyDescent="0.2">
      <c r="A29" s="45"/>
      <c r="B29" s="70" t="s">
        <v>18</v>
      </c>
      <c r="C29" s="70" t="s">
        <v>52</v>
      </c>
      <c r="D29" s="71" t="s">
        <v>40</v>
      </c>
      <c r="E29" s="72" t="s">
        <v>20</v>
      </c>
      <c r="F29" s="73" t="s">
        <v>21</v>
      </c>
      <c r="G29" s="49"/>
      <c r="H29" s="74">
        <f t="shared" si="33"/>
        <v>0.13043478260869565</v>
      </c>
      <c r="I29" s="75">
        <v>3</v>
      </c>
      <c r="J29" s="74">
        <f t="shared" si="34"/>
        <v>0.13636363636363635</v>
      </c>
      <c r="K29" s="75">
        <v>3</v>
      </c>
      <c r="L29" s="74">
        <f t="shared" si="35"/>
        <v>0.15</v>
      </c>
      <c r="M29" s="75">
        <v>3</v>
      </c>
      <c r="N29" s="74">
        <f t="shared" si="36"/>
        <v>0.13636363636363635</v>
      </c>
      <c r="O29" s="75">
        <v>3</v>
      </c>
      <c r="P29" s="74">
        <f t="shared" si="37"/>
        <v>0.13636363636363635</v>
      </c>
      <c r="Q29" s="75">
        <v>3</v>
      </c>
      <c r="R29" s="74">
        <f t="shared" si="38"/>
        <v>0.14285714285714285</v>
      </c>
      <c r="S29" s="75">
        <v>3</v>
      </c>
      <c r="T29" s="74">
        <f t="shared" si="39"/>
        <v>0.13636363636363635</v>
      </c>
      <c r="U29" s="75">
        <v>3</v>
      </c>
      <c r="V29" s="74">
        <f t="shared" si="40"/>
        <v>0.13043478260869565</v>
      </c>
      <c r="W29" s="75">
        <v>3</v>
      </c>
      <c r="X29" s="74">
        <f t="shared" si="41"/>
        <v>0.14285714285714285</v>
      </c>
      <c r="Y29" s="75">
        <v>3</v>
      </c>
      <c r="Z29" s="74">
        <f t="shared" si="42"/>
        <v>0.13636363636363635</v>
      </c>
      <c r="AA29" s="75">
        <v>3</v>
      </c>
      <c r="AB29" s="74">
        <f t="shared" si="43"/>
        <v>0.13636363636363635</v>
      </c>
      <c r="AC29" s="75">
        <v>3</v>
      </c>
      <c r="AD29" s="74">
        <f t="shared" si="44"/>
        <v>0.14285714285714285</v>
      </c>
      <c r="AE29" s="75">
        <v>3</v>
      </c>
      <c r="AF29" s="74">
        <f t="shared" si="45"/>
        <v>0.13043478260869565</v>
      </c>
      <c r="AG29" s="75">
        <v>3</v>
      </c>
      <c r="AH29" s="74">
        <f t="shared" si="46"/>
        <v>0.14285714285714285</v>
      </c>
      <c r="AI29" s="76">
        <v>3</v>
      </c>
    </row>
    <row r="30" spans="1:35" s="53" customFormat="1" ht="25.5" customHeight="1" x14ac:dyDescent="0.2">
      <c r="A30" s="45"/>
      <c r="B30" s="70" t="s">
        <v>18</v>
      </c>
      <c r="C30" s="70" t="s">
        <v>52</v>
      </c>
      <c r="D30" s="71" t="s">
        <v>40</v>
      </c>
      <c r="E30" s="72" t="s">
        <v>22</v>
      </c>
      <c r="F30" s="73" t="s">
        <v>23</v>
      </c>
      <c r="G30" s="49"/>
      <c r="H30" s="74">
        <f t="shared" si="33"/>
        <v>4.3478260869565216E-2</v>
      </c>
      <c r="I30" s="75">
        <v>1</v>
      </c>
      <c r="J30" s="74">
        <f t="shared" si="34"/>
        <v>4.5454545454545456E-2</v>
      </c>
      <c r="K30" s="75">
        <v>1</v>
      </c>
      <c r="L30" s="74">
        <f t="shared" si="35"/>
        <v>0.05</v>
      </c>
      <c r="M30" s="75">
        <v>1</v>
      </c>
      <c r="N30" s="74">
        <f t="shared" si="36"/>
        <v>4.5454545454545456E-2</v>
      </c>
      <c r="O30" s="75">
        <v>1</v>
      </c>
      <c r="P30" s="74">
        <f t="shared" si="37"/>
        <v>4.5454545454545456E-2</v>
      </c>
      <c r="Q30" s="75">
        <v>1</v>
      </c>
      <c r="R30" s="74">
        <f t="shared" si="38"/>
        <v>4.7619047619047616E-2</v>
      </c>
      <c r="S30" s="75">
        <v>1</v>
      </c>
      <c r="T30" s="74">
        <f t="shared" si="39"/>
        <v>4.5454545454545456E-2</v>
      </c>
      <c r="U30" s="75">
        <v>1</v>
      </c>
      <c r="V30" s="74">
        <f t="shared" si="40"/>
        <v>4.3478260869565216E-2</v>
      </c>
      <c r="W30" s="75">
        <v>1</v>
      </c>
      <c r="X30" s="74">
        <f t="shared" si="41"/>
        <v>4.7619047619047616E-2</v>
      </c>
      <c r="Y30" s="75">
        <v>1</v>
      </c>
      <c r="Z30" s="74">
        <f t="shared" si="42"/>
        <v>4.5454545454545456E-2</v>
      </c>
      <c r="AA30" s="75">
        <v>1</v>
      </c>
      <c r="AB30" s="74">
        <f t="shared" si="43"/>
        <v>4.5454545454545456E-2</v>
      </c>
      <c r="AC30" s="75">
        <v>1</v>
      </c>
      <c r="AD30" s="74">
        <f t="shared" si="44"/>
        <v>4.7619047619047616E-2</v>
      </c>
      <c r="AE30" s="75">
        <v>1</v>
      </c>
      <c r="AF30" s="74">
        <f t="shared" si="45"/>
        <v>4.3478260869565216E-2</v>
      </c>
      <c r="AG30" s="75">
        <v>1</v>
      </c>
      <c r="AH30" s="74">
        <f t="shared" si="46"/>
        <v>4.7619047619047616E-2</v>
      </c>
      <c r="AI30" s="76">
        <v>1</v>
      </c>
    </row>
    <row r="31" spans="1:35" s="53" customFormat="1" ht="25.5" customHeight="1" x14ac:dyDescent="0.2">
      <c r="A31" s="45"/>
      <c r="B31" s="70" t="s">
        <v>18</v>
      </c>
      <c r="C31" s="70" t="s">
        <v>52</v>
      </c>
      <c r="D31" s="71" t="s">
        <v>40</v>
      </c>
      <c r="E31" s="72" t="s">
        <v>25</v>
      </c>
      <c r="F31" s="73"/>
      <c r="G31" s="49"/>
      <c r="H31" s="74">
        <f>I31/I$2</f>
        <v>8.6956521739130432E-2</v>
      </c>
      <c r="I31" s="75">
        <f>I$4</f>
        <v>2</v>
      </c>
      <c r="J31" s="74">
        <f>K31/K$2</f>
        <v>4.5454545454545456E-2</v>
      </c>
      <c r="K31" s="75">
        <f>K$4</f>
        <v>1</v>
      </c>
      <c r="L31" s="74">
        <f>M31/M$2</f>
        <v>0</v>
      </c>
      <c r="M31" s="75">
        <f>M$4</f>
        <v>0</v>
      </c>
      <c r="N31" s="74">
        <f>O31/O$2</f>
        <v>0</v>
      </c>
      <c r="O31" s="75">
        <f>O$4</f>
        <v>0</v>
      </c>
      <c r="P31" s="74">
        <f>Q31/Q$2</f>
        <v>9.0909090909090912E-2</v>
      </c>
      <c r="Q31" s="75">
        <v>2</v>
      </c>
      <c r="R31" s="74">
        <f>S31/S$2</f>
        <v>9.5238095238095233E-2</v>
      </c>
      <c r="S31" s="75">
        <f>S$4</f>
        <v>2</v>
      </c>
      <c r="T31" s="74">
        <f>U31/U$2</f>
        <v>0</v>
      </c>
      <c r="U31" s="75">
        <f>U$4</f>
        <v>0</v>
      </c>
      <c r="V31" s="74">
        <f>W31/W$2</f>
        <v>4.3478260869565216E-2</v>
      </c>
      <c r="W31" s="75">
        <v>1</v>
      </c>
      <c r="X31" s="74">
        <f>Y31/Y$2</f>
        <v>0</v>
      </c>
      <c r="Y31" s="75">
        <f>Y$4</f>
        <v>0</v>
      </c>
      <c r="Z31" s="74">
        <f>AA31/AA$2</f>
        <v>0</v>
      </c>
      <c r="AA31" s="75">
        <f>AA$4</f>
        <v>0</v>
      </c>
      <c r="AB31" s="74">
        <f>AC31/AC$2</f>
        <v>4.5454545454545456E-2</v>
      </c>
      <c r="AC31" s="75">
        <f>AC$4</f>
        <v>1</v>
      </c>
      <c r="AD31" s="74">
        <f>AE31/AE$2</f>
        <v>4.7619047619047616E-2</v>
      </c>
      <c r="AE31" s="75">
        <f>AE$4</f>
        <v>1</v>
      </c>
      <c r="AF31" s="74">
        <f>AG31/AG$2</f>
        <v>0.13043478260869565</v>
      </c>
      <c r="AG31" s="75">
        <f>AG$4</f>
        <v>3</v>
      </c>
      <c r="AH31" s="74">
        <f>AI31/AI$2</f>
        <v>4.7619047619047616E-2</v>
      </c>
      <c r="AI31" s="76">
        <f>AI$4</f>
        <v>1</v>
      </c>
    </row>
    <row r="32" spans="1:35" s="53" customFormat="1" ht="25.5" customHeight="1" x14ac:dyDescent="0.2">
      <c r="A32" s="45"/>
      <c r="B32" s="70" t="s">
        <v>24</v>
      </c>
      <c r="C32" s="70" t="s">
        <v>52</v>
      </c>
      <c r="D32" s="71" t="s">
        <v>40</v>
      </c>
      <c r="E32" s="72" t="s">
        <v>26</v>
      </c>
      <c r="F32" s="73"/>
      <c r="G32" s="49"/>
      <c r="H32" s="74">
        <f t="shared" si="33"/>
        <v>0</v>
      </c>
      <c r="I32" s="75"/>
      <c r="J32" s="74">
        <f t="shared" si="34"/>
        <v>0</v>
      </c>
      <c r="K32" s="75"/>
      <c r="L32" s="74">
        <f t="shared" si="35"/>
        <v>0</v>
      </c>
      <c r="M32" s="75"/>
      <c r="N32" s="74">
        <f t="shared" si="36"/>
        <v>4.5454545454545456E-2</v>
      </c>
      <c r="O32" s="75">
        <v>1</v>
      </c>
      <c r="P32" s="74">
        <f t="shared" si="37"/>
        <v>9.0909090909090912E-2</v>
      </c>
      <c r="Q32" s="75">
        <v>2</v>
      </c>
      <c r="R32" s="74">
        <f t="shared" si="38"/>
        <v>4.7619047619047616E-2</v>
      </c>
      <c r="S32" s="75">
        <v>1</v>
      </c>
      <c r="T32" s="74">
        <f t="shared" si="39"/>
        <v>0</v>
      </c>
      <c r="U32" s="75"/>
      <c r="V32" s="74">
        <f t="shared" si="40"/>
        <v>0</v>
      </c>
      <c r="W32" s="75"/>
      <c r="X32" s="74">
        <f t="shared" si="41"/>
        <v>0</v>
      </c>
      <c r="Y32" s="75"/>
      <c r="Z32" s="74">
        <f t="shared" si="42"/>
        <v>0</v>
      </c>
      <c r="AA32" s="75"/>
      <c r="AB32" s="74">
        <f t="shared" si="43"/>
        <v>0</v>
      </c>
      <c r="AC32" s="75"/>
      <c r="AD32" s="74">
        <f t="shared" si="44"/>
        <v>0</v>
      </c>
      <c r="AE32" s="75"/>
      <c r="AF32" s="74">
        <f t="shared" si="45"/>
        <v>0</v>
      </c>
      <c r="AG32" s="75"/>
      <c r="AH32" s="74">
        <f t="shared" si="46"/>
        <v>0</v>
      </c>
      <c r="AI32" s="76"/>
    </row>
    <row r="33" spans="1:35" s="85" customFormat="1" ht="45" customHeight="1" thickBot="1" x14ac:dyDescent="0.25">
      <c r="A33" s="77"/>
      <c r="B33" s="78"/>
      <c r="C33" s="78" t="s">
        <v>52</v>
      </c>
      <c r="D33" s="78" t="s">
        <v>40</v>
      </c>
      <c r="E33" s="79" t="str">
        <f>COUNTIF(B18:B32,"Project (Active)")+COUNTIF(B18:B32,"E&amp;C")&amp;" Projects"</f>
        <v>10 Projects</v>
      </c>
      <c r="F33" s="80"/>
      <c r="G33" s="81"/>
      <c r="H33" s="82">
        <f>1-SUM(H18:H32)</f>
        <v>0.19565217391304346</v>
      </c>
      <c r="I33" s="83"/>
      <c r="J33" s="82">
        <f>1-SUM(J18:J32)</f>
        <v>0.31818181818181834</v>
      </c>
      <c r="K33" s="83"/>
      <c r="L33" s="82">
        <f>1-SUM(L18:L32)</f>
        <v>4.9999999999999822E-2</v>
      </c>
      <c r="M33" s="83"/>
      <c r="N33" s="82">
        <f>1-SUM(N18:N32)</f>
        <v>2.2727272727272818E-2</v>
      </c>
      <c r="O33" s="83"/>
      <c r="P33" s="82">
        <f>1-SUM(P18:P32)</f>
        <v>6.8181818181818232E-2</v>
      </c>
      <c r="Q33" s="83"/>
      <c r="R33" s="82">
        <f>1-SUM(R18:R32)</f>
        <v>7.1428571428571397E-2</v>
      </c>
      <c r="S33" s="83"/>
      <c r="T33" s="82">
        <f>1-SUM(T18:T32)</f>
        <v>0.43181818181818188</v>
      </c>
      <c r="U33" s="83"/>
      <c r="V33" s="82">
        <f>1-SUM(V18:V32)</f>
        <v>0.58695652173913049</v>
      </c>
      <c r="W33" s="83"/>
      <c r="X33" s="82">
        <f>1-SUM(X18:X32)</f>
        <v>0.59523809523809534</v>
      </c>
      <c r="Y33" s="83"/>
      <c r="Z33" s="82">
        <f>1-SUM(Z18:Z32)</f>
        <v>0.61363636363636354</v>
      </c>
      <c r="AA33" s="83"/>
      <c r="AB33" s="82">
        <f>1-SUM(AB18:AB32)</f>
        <v>0.56818181818181812</v>
      </c>
      <c r="AC33" s="83"/>
      <c r="AD33" s="82">
        <f>1-SUM(AD18:AD32)</f>
        <v>0.54761904761904767</v>
      </c>
      <c r="AE33" s="83"/>
      <c r="AF33" s="82">
        <f>1-SUM(AF18:AF32)</f>
        <v>0.5</v>
      </c>
      <c r="AG33" s="83"/>
      <c r="AH33" s="82">
        <f>1-SUM(AH18:AH32)</f>
        <v>0.54761904761904767</v>
      </c>
      <c r="AI33" s="84"/>
    </row>
    <row r="34" spans="1:35" ht="19.5" thickTop="1" x14ac:dyDescent="0.2"/>
  </sheetData>
  <autoFilter ref="A5:AI17" xr:uid="{00000000-0001-0000-0000-000000000000}"/>
  <mergeCells count="2">
    <mergeCell ref="B2:E2"/>
    <mergeCell ref="C3:E3"/>
  </mergeCells>
  <conditionalFormatting sqref="H6 J6 N6 P6 R6 T6 V6 X6 Z6 AB6 AD6 AF6 AH6">
    <cfRule type="cellIs" dxfId="70" priority="810" operator="greaterThan">
      <formula>0.59</formula>
    </cfRule>
    <cfRule type="cellIs" dxfId="69" priority="813" stopIfTrue="1" operator="notEqual">
      <formula>0</formula>
    </cfRule>
    <cfRule type="cellIs" dxfId="68" priority="812" operator="lessThan">
      <formula>0.21</formula>
    </cfRule>
    <cfRule type="cellIs" dxfId="67" priority="811" operator="between">
      <formula>0.21</formula>
      <formula>0.59</formula>
    </cfRule>
  </conditionalFormatting>
  <conditionalFormatting sqref="H33 J33 L33 N33 P33 R33 T33 V33 X33 Z33 AB33 AD33 AF33 AH33">
    <cfRule type="cellIs" dxfId="66" priority="27" operator="greaterThan">
      <formula>0.59</formula>
    </cfRule>
    <cfRule type="cellIs" dxfId="65" priority="28" operator="between">
      <formula>0.21</formula>
      <formula>0.59</formula>
    </cfRule>
    <cfRule type="cellIs" dxfId="64" priority="29" operator="lessThan">
      <formula>0.21</formula>
    </cfRule>
  </conditionalFormatting>
  <conditionalFormatting sqref="H33 J33">
    <cfRule type="cellIs" dxfId="63" priority="18" operator="lessThan">
      <formula>0.21</formula>
    </cfRule>
    <cfRule type="cellIs" dxfId="62" priority="16" operator="greaterThan">
      <formula>0.59</formula>
    </cfRule>
    <cfRule type="cellIs" dxfId="61" priority="17" operator="between">
      <formula>0.21</formula>
      <formula>0.59</formula>
    </cfRule>
    <cfRule type="cellIs" dxfId="60" priority="22" operator="greaterThan">
      <formula>0.59</formula>
    </cfRule>
    <cfRule type="cellIs" dxfId="59" priority="23" operator="between">
      <formula>0.21</formula>
      <formula>0.59</formula>
    </cfRule>
    <cfRule type="cellIs" dxfId="58" priority="24" operator="lessThan">
      <formula>0.21</formula>
    </cfRule>
  </conditionalFormatting>
  <conditionalFormatting sqref="H33 J33:N33 P33 R33 T33 V33 X33 Z33 AB33 AD33 AF33 AH33">
    <cfRule type="cellIs" dxfId="57" priority="30" stopIfTrue="1" operator="notEqual">
      <formula>0</formula>
    </cfRule>
  </conditionalFormatting>
  <conditionalFormatting sqref="H33:J33">
    <cfRule type="cellIs" dxfId="56" priority="20" stopIfTrue="1" operator="notEqual">
      <formula>0</formula>
    </cfRule>
    <cfRule type="cellIs" dxfId="55" priority="26" stopIfTrue="1" operator="notEqual">
      <formula>0</formula>
    </cfRule>
  </conditionalFormatting>
  <conditionalFormatting sqref="H33:K33">
    <cfRule type="cellIs" dxfId="54" priority="25" stopIfTrue="1" operator="notEqual">
      <formula>0</formula>
    </cfRule>
  </conditionalFormatting>
  <conditionalFormatting sqref="H8:AI16">
    <cfRule type="cellIs" dxfId="53" priority="633" stopIfTrue="1" operator="notEqual">
      <formula>0</formula>
    </cfRule>
  </conditionalFormatting>
  <conditionalFormatting sqref="H18:AI33">
    <cfRule type="cellIs" dxfId="52" priority="61" stopIfTrue="1" operator="notEqual">
      <formula>0</formula>
    </cfRule>
  </conditionalFormatting>
  <conditionalFormatting sqref="I6 K6 M6 O6 Q6 S6 U6 W6 Y6 AA6 AC6 AE6 AG6">
    <cfRule type="cellIs" dxfId="51" priority="819" stopIfTrue="1" operator="notEqual">
      <formula>0</formula>
    </cfRule>
  </conditionalFormatting>
  <conditionalFormatting sqref="I33 O33 Q33 S33 U33 W33 Y33 AA33 AC33 AE33 AG33 AI33">
    <cfRule type="cellIs" dxfId="50" priority="31" stopIfTrue="1" operator="notEqual">
      <formula>0</formula>
    </cfRule>
    <cfRule type="cellIs" dxfId="49" priority="32" stopIfTrue="1" operator="notEqual">
      <formula>0</formula>
    </cfRule>
  </conditionalFormatting>
  <conditionalFormatting sqref="I33">
    <cfRule type="cellIs" dxfId="48" priority="19" stopIfTrue="1" operator="notEqual">
      <formula>0</formula>
    </cfRule>
    <cfRule type="cellIs" dxfId="47" priority="21" stopIfTrue="1" operator="notEqual">
      <formula>0</formula>
    </cfRule>
  </conditionalFormatting>
  <conditionalFormatting sqref="K33">
    <cfRule type="cellIs" dxfId="46" priority="3" stopIfTrue="1" operator="notEqual">
      <formula>0</formula>
    </cfRule>
    <cfRule type="cellIs" dxfId="45" priority="4" stopIfTrue="1" operator="notEqual">
      <formula>0</formula>
    </cfRule>
    <cfRule type="cellIs" dxfId="44" priority="5" stopIfTrue="1" operator="notEqual">
      <formula>0</formula>
    </cfRule>
    <cfRule type="cellIs" dxfId="43" priority="6" stopIfTrue="1" operator="notEqual">
      <formula>0</formula>
    </cfRule>
    <cfRule type="cellIs" dxfId="42" priority="2" stopIfTrue="1" operator="notEqual">
      <formula>0</formula>
    </cfRule>
  </conditionalFormatting>
  <conditionalFormatting sqref="L6">
    <cfRule type="cellIs" dxfId="41" priority="79" operator="between">
      <formula>0.21</formula>
      <formula>0.59</formula>
    </cfRule>
    <cfRule type="cellIs" dxfId="40" priority="81" stopIfTrue="1" operator="notEqual">
      <formula>0</formula>
    </cfRule>
    <cfRule type="cellIs" dxfId="39" priority="80" operator="lessThan">
      <formula>0.21</formula>
    </cfRule>
    <cfRule type="cellIs" dxfId="38" priority="78" operator="greaterThan">
      <formula>0.59</formula>
    </cfRule>
  </conditionalFormatting>
  <conditionalFormatting sqref="L33">
    <cfRule type="cellIs" dxfId="37" priority="7" operator="greaterThan">
      <formula>0.59</formula>
    </cfRule>
    <cfRule type="cellIs" dxfId="36" priority="8" operator="between">
      <formula>0.21</formula>
      <formula>0.59</formula>
    </cfRule>
    <cfRule type="cellIs" dxfId="35" priority="9" operator="lessThan">
      <formula>0.21</formula>
    </cfRule>
    <cfRule type="cellIs" dxfId="34" priority="11" operator="greaterThan">
      <formula>0.59</formula>
    </cfRule>
    <cfRule type="cellIs" dxfId="33" priority="12" operator="between">
      <formula>0.21</formula>
      <formula>0.59</formula>
    </cfRule>
    <cfRule type="cellIs" dxfId="32" priority="13" operator="lessThan">
      <formula>0.21</formula>
    </cfRule>
    <cfRule type="cellIs" dxfId="31" priority="15" stopIfTrue="1" operator="notEqual">
      <formula>0</formula>
    </cfRule>
    <cfRule type="cellIs" dxfId="30" priority="10" stopIfTrue="1" operator="notEqual">
      <formula>0</formula>
    </cfRule>
  </conditionalFormatting>
  <conditionalFormatting sqref="L33:M33">
    <cfRule type="cellIs" dxfId="29" priority="14" stopIfTrue="1" operator="notEqual">
      <formula>0</formula>
    </cfRule>
  </conditionalFormatting>
  <conditionalFormatting sqref="M33 O33 Q33 S33 U33 W33 Y33 AA33 AC33 AE33 AG33 AI33 I33 K33">
    <cfRule type="cellIs" dxfId="28" priority="60" stopIfTrue="1" operator="notEqual">
      <formula>0</formula>
    </cfRule>
  </conditionalFormatting>
  <conditionalFormatting sqref="M33">
    <cfRule type="cellIs" dxfId="27" priority="54" stopIfTrue="1" operator="notEqual">
      <formula>0</formula>
    </cfRule>
    <cfRule type="cellIs" dxfId="26" priority="55" stopIfTrue="1" operator="notEqual">
      <formula>0</formula>
    </cfRule>
    <cfRule type="cellIs" dxfId="25" priority="56" stopIfTrue="1" operator="notEqual">
      <formula>0</formula>
    </cfRule>
  </conditionalFormatting>
  <conditionalFormatting sqref="M33:O33">
    <cfRule type="cellIs" dxfId="24" priority="53" stopIfTrue="1" operator="notEqual">
      <formula>0</formula>
    </cfRule>
    <cfRule type="cellIs" dxfId="23" priority="52" stopIfTrue="1" operator="notEqual">
      <formula>0</formula>
    </cfRule>
  </conditionalFormatting>
  <conditionalFormatting sqref="N33 P33 R33 T33 V33 X33 Z33 AB33 AD33 AF33 AH33 H33 J33 L33">
    <cfRule type="cellIs" dxfId="22" priority="57" operator="greaterThan">
      <formula>0.59</formula>
    </cfRule>
    <cfRule type="cellIs" dxfId="21" priority="58" operator="between">
      <formula>0.21</formula>
      <formula>0.59</formula>
    </cfRule>
    <cfRule type="cellIs" dxfId="20" priority="59" operator="lessThan">
      <formula>0.21</formula>
    </cfRule>
  </conditionalFormatting>
  <conditionalFormatting sqref="N33">
    <cfRule type="cellIs" dxfId="19" priority="44" operator="greaterThan">
      <formula>0.59</formula>
    </cfRule>
    <cfRule type="cellIs" dxfId="18" priority="46" operator="lessThan">
      <formula>0.21</formula>
    </cfRule>
    <cfRule type="cellIs" dxfId="17" priority="49" operator="greaterThan">
      <formula>0.59</formula>
    </cfRule>
    <cfRule type="cellIs" dxfId="16" priority="45" operator="between">
      <formula>0.21</formula>
      <formula>0.59</formula>
    </cfRule>
    <cfRule type="cellIs" dxfId="15" priority="51" operator="lessThan">
      <formula>0.21</formula>
    </cfRule>
    <cfRule type="cellIs" dxfId="14" priority="50" operator="between">
      <formula>0.21</formula>
      <formula>0.59</formula>
    </cfRule>
  </conditionalFormatting>
  <conditionalFormatting sqref="N33:O33">
    <cfRule type="cellIs" dxfId="13" priority="47" stopIfTrue="1" operator="notEqual">
      <formula>0</formula>
    </cfRule>
  </conditionalFormatting>
  <conditionalFormatting sqref="O33">
    <cfRule type="cellIs" dxfId="12" priority="48" stopIfTrue="1" operator="notEqual">
      <formula>0</formula>
    </cfRule>
  </conditionalFormatting>
  <conditionalFormatting sqref="O33:AI33">
    <cfRule type="cellIs" dxfId="11" priority="42" stopIfTrue="1" operator="notEqual">
      <formula>0</formula>
    </cfRule>
  </conditionalFormatting>
  <conditionalFormatting sqref="P33 R33 T33 V33 X33 Z33 AB33 AD33 AF33 AH33">
    <cfRule type="cellIs" dxfId="10" priority="41" operator="lessThan">
      <formula>0.21</formula>
    </cfRule>
    <cfRule type="cellIs" dxfId="9" priority="35" operator="lessThan">
      <formula>0.21</formula>
    </cfRule>
    <cfRule type="cellIs" dxfId="8" priority="39" operator="greaterThan">
      <formula>0.59</formula>
    </cfRule>
    <cfRule type="cellIs" dxfId="7" priority="40" operator="between">
      <formula>0.21</formula>
      <formula>0.59</formula>
    </cfRule>
    <cfRule type="cellIs" dxfId="6" priority="34" operator="between">
      <formula>0.21</formula>
      <formula>0.59</formula>
    </cfRule>
    <cfRule type="cellIs" dxfId="5" priority="33" operator="greaterThan">
      <formula>0.59</formula>
    </cfRule>
  </conditionalFormatting>
  <conditionalFormatting sqref="P33:AI33">
    <cfRule type="cellIs" dxfId="4" priority="43" stopIfTrue="1" operator="notEqual">
      <formula>0</formula>
    </cfRule>
    <cfRule type="cellIs" dxfId="3" priority="37" stopIfTrue="1" operator="notEqual">
      <formula>0</formula>
    </cfRule>
  </conditionalFormatting>
  <conditionalFormatting sqref="Q33 S33 U33 W33 Y33 AA33 AC33 AE33 AG33 AI33">
    <cfRule type="cellIs" dxfId="2" priority="38" stopIfTrue="1" operator="notEqual">
      <formula>0</formula>
    </cfRule>
    <cfRule type="cellIs" dxfId="1" priority="36" stopIfTrue="1" operator="notEqual">
      <formula>0</formula>
    </cfRule>
  </conditionalFormatting>
  <conditionalFormatting sqref="AI6">
    <cfRule type="cellIs" dxfId="0" priority="719" stopIfTrue="1" operator="notEqual">
      <formula>0</formula>
    </cfRule>
  </conditionalFormatting>
  <pageMargins left="0.39370078740157483" right="0.39370078740157483" top="0.74803149606299213" bottom="0.74803149606299213" header="0.31496062992125984" footer="0.31496062992125984"/>
  <pageSetup paperSize="9" scale="11" orientation="landscape" r:id="rId1"/>
  <headerFooter>
    <oddFooter>&amp;L_x000D_&amp;1#&amp;"72 Brand"&amp;6&amp;K000000                  INTERNAL ‒ SAP Only</oddFooter>
  </headerFooter>
  <legacyDrawing r:id="rId2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Capacity Plan</vt:lpstr>
      <vt:lpstr>'Capacity Plan'!Print_Area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Hromatka, David</dc:creator>
  <cp:lastModifiedBy>Hromatka, David</cp:lastModifiedBy>
  <dcterms:created xsi:type="dcterms:W3CDTF">2026-03-18T22:20:01Z</dcterms:created>
  <dcterms:modified xsi:type="dcterms:W3CDTF">2026-04-22T12:01:35Z</dcterms:modified>
</cp:coreProperties>
</file>